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Don_Mizzy\Desktop\North bridge Analytics\Task 2\Ecommerce-Sales-Dashboard\Dashboard\"/>
    </mc:Choice>
  </mc:AlternateContent>
  <xr:revisionPtr revIDLastSave="0" documentId="13_ncr:1_{DC2105EF-0115-4639-8185-49DC82DDACAB}" xr6:coauthVersionLast="47" xr6:coauthVersionMax="47" xr10:uidLastSave="{00000000-0000-0000-0000-000000000000}"/>
  <bookViews>
    <workbookView xWindow="-120" yWindow="-120" windowWidth="20730" windowHeight="11160" tabRatio="819" firstSheet="11" activeTab="11" xr2:uid="{00000000-000D-0000-FFFF-FFFF00000000}"/>
  </bookViews>
  <sheets>
    <sheet name="Sheet1" sheetId="1" state="hidden" r:id="rId1"/>
    <sheet name="KPI" sheetId="3" state="hidden" r:id="rId2"/>
    <sheet name="Revenue Trend by Date" sheetId="6" state="hidden" r:id="rId3"/>
    <sheet name="Renvue by product" sheetId="7" state="hidden" r:id="rId4"/>
    <sheet name="Revenue by Payment Method" sheetId="8" state="hidden" r:id="rId5"/>
    <sheet name="Order Status Distribution" sheetId="9" state="hidden" r:id="rId6"/>
    <sheet name="Avg Order Value by Paymt Mthd" sheetId="11" state="hidden" r:id="rId7"/>
    <sheet name="Top 5 Best-Selling Product" sheetId="12" state="hidden" r:id="rId8"/>
    <sheet name="Revenue by Referral Source" sheetId="13" state="hidden" r:id="rId9"/>
    <sheet name="Coupon Performance" sheetId="14" state="hidden" r:id="rId10"/>
    <sheet name="Top Customers" sheetId="15" state="hidden" r:id="rId11"/>
    <sheet name="Dashboard pg1" sheetId="4" r:id="rId12"/>
    <sheet name="Dashboard pg2" sheetId="5" r:id="rId13"/>
    <sheet name="OnlineOrderTable" sheetId="2" r:id="rId14"/>
  </sheets>
  <definedNames>
    <definedName name="_xlcn.WorksheetConnection_OnlineStoreOrders.xlsxStoreOrders" hidden="1">StoreOrders[]</definedName>
    <definedName name="Slicer_CouponCode">#N/A</definedName>
    <definedName name="Slicer_OrderStatus1">#N/A</definedName>
    <definedName name="Slicer_PaymentMethod">#N/A</definedName>
    <definedName name="Slicer_Product">#N/A</definedName>
    <definedName name="Slicer_Quantity">#N/A</definedName>
    <definedName name="Slicer_ReferralSource">#N/A</definedName>
  </definedNames>
  <calcPr calcId="181029"/>
  <pivotCaches>
    <pivotCache cacheId="3285" r:id="rId15"/>
    <pivotCache cacheId="3286" r:id="rId16"/>
    <pivotCache cacheId="3287" r:id="rId17"/>
    <pivotCache cacheId="3288" r:id="rId18"/>
    <pivotCache cacheId="3289" r:id="rId19"/>
    <pivotCache cacheId="3290" r:id="rId20"/>
    <pivotCache cacheId="3291" r:id="rId21"/>
    <pivotCache cacheId="3292" r:id="rId22"/>
    <pivotCache cacheId="3293" r:id="rId23"/>
    <pivotCache cacheId="3294" r:id="rId24"/>
  </pivotCaches>
  <extLst>
    <ext xmlns:x14="http://schemas.microsoft.com/office/spreadsheetml/2009/9/main" uri="{876F7934-8845-4945-9796-88D515C7AA90}">
      <x14:pivotCaches>
        <pivotCache cacheId="3295" r:id="rId25"/>
        <pivotCache cacheId="3296"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841E416B-1EF1-43b6-AB56-02D37102CBD5}">
      <x15:pivotCaches>
        <pivotCache cacheId="3297" r:id="rId33"/>
        <pivotCache cacheId="3298" r:id="rId34"/>
        <pivotCache cacheId="3299" r:id="rId35"/>
      </x15:pivotCaches>
    </ext>
    <ext xmlns:x15="http://schemas.microsoft.com/office/spreadsheetml/2010/11/main" uri="{983426D0-5260-488c-9760-48F4B6AC55F4}">
      <x15:pivotTableReferences>
        <x15:pivotTableReference r:id="rId36"/>
        <x15:pivotTableReference r:id="rId37"/>
        <x15:pivotTableReference r:id="rId38"/>
      </x15:pivotTableReferences>
    </ext>
    <ext xmlns:x15="http://schemas.microsoft.com/office/spreadsheetml/2010/11/main" uri="{FCE2AD5D-F65C-4FA6-A056-5C36A1767C68}">
      <x15:dataModel>
        <x15:modelTables>
          <x15:modelTable id="StoreOrders" name="StoreOrders" connection="WorksheetConnection_Online-Store-Orders.xlsx!StoreOrders"/>
        </x15:modelTables>
        <x15:extLst>
          <ext xmlns:x16="http://schemas.microsoft.com/office/spreadsheetml/2014/11/main" uri="{9835A34E-60A6-4A7C-AAB8-D5F71C897F49}">
            <x16:modelTimeGroupings>
              <x16:modelTimeGrouping tableName="StoreOrder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J4" i="3" l="1"/>
  <c r="D5" i="11"/>
  <c r="D8" i="15"/>
  <c r="D7" i="13"/>
  <c r="E4" i="3"/>
  <c r="I4" i="3"/>
  <c r="H4" i="3"/>
  <c r="G4" i="3" l="1"/>
  <c r="H5" i="4" s="1"/>
  <c r="F4" i="3"/>
  <c r="G5" i="4" s="1"/>
  <c r="F5" i="4"/>
  <c r="E5" i="4"/>
  <c r="D5" i="4"/>
  <c r="A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AA7073-5F0D-4570-9D8F-98D6970333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6BE85D-4D5B-46D2-AC60-B17E8DA08CB0}" name="WorksheetConnection_Online-Store-Orders.xlsx!StoreOrders" type="102" refreshedVersion="8" minRefreshableVersion="5">
    <extLst>
      <ext xmlns:x15="http://schemas.microsoft.com/office/spreadsheetml/2010/11/main" uri="{DE250136-89BD-433C-8126-D09CA5730AF9}">
        <x15:connection id="StoreOrders" autoDelete="1">
          <x15:rangePr sourceName="_xlcn.WorksheetConnection_OnlineStoreOrders.xlsxStoreOrders"/>
        </x15:connection>
      </ext>
    </extLst>
  </connection>
</connections>
</file>

<file path=xl/sharedStrings.xml><?xml version="1.0" encoding="utf-8"?>
<sst xmlns="http://schemas.openxmlformats.org/spreadsheetml/2006/main" count="21421" uniqueCount="4316">
  <si>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</si>
  <si>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</si>
  <si>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</si>
  <si>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</si>
  <si>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</si>
  <si>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</si>
  <si>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</si>
  <si>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</si>
  <si>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</si>
  <si>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</si>
  <si>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</si>
  <si>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</si>
  <si>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</si>
  <si>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</si>
  <si>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</si>
  <si>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</si>
  <si>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</si>
  <si>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</si>
  <si>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</si>
  <si>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</si>
  <si>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</si>
  <si>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</si>
  <si>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</si>
  <si>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</si>
  <si>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</si>
  <si>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</si>
  <si>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</si>
  <si>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</si>
  <si>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</si>
  <si>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</si>
  <si>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</si>
  <si>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</si>
  <si>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</si>
  <si>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</si>
  <si>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</si>
  <si>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</si>
  <si>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</si>
  <si>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</si>
  <si>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</si>
  <si>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</si>
  <si>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</si>
  <si>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</si>
  <si>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</si>
  <si>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</si>
  <si>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</si>
  <si>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</si>
  <si>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</si>
  <si>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</si>
  <si>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</si>
  <si>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</si>
  <si>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</si>
  <si>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</si>
  <si>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</si>
  <si>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</si>
  <si>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</si>
  <si>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</si>
  <si>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</si>
  <si>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</si>
  <si>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</si>
  <si>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</si>
  <si>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</si>
  <si>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</si>
  <si>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</si>
  <si>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</si>
  <si>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</si>
  <si>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</si>
  <si>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</si>
  <si>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</si>
  <si>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</si>
  <si>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</si>
  <si>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</si>
  <si>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</si>
  <si>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</si>
  <si>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</si>
  <si>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</si>
  <si>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</si>
  <si>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</si>
  <si>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</si>
  <si>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</si>
  <si>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</si>
  <si>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</si>
  <si>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</si>
  <si>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</si>
  <si>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</si>
  <si>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</si>
  <si>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</si>
  <si>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</si>
  <si>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</si>
  <si>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</si>
  <si>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</si>
  <si>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</si>
  <si>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</si>
  <si>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</si>
  <si>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</si>
  <si>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</si>
  <si>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</si>
  <si>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</si>
  <si>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</si>
  <si>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</si>
  <si>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</si>
  <si>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</si>
  <si>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</si>
  <si>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</si>
  <si>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</si>
  <si>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</si>
  <si>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</si>
  <si>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</si>
  <si>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</si>
  <si>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</si>
  <si>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</si>
  <si>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</si>
  <si>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</si>
  <si>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</si>
  <si>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</si>
  <si>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</si>
  <si>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</si>
  <si>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</si>
  <si>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</si>
  <si>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</si>
  <si>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</si>
  <si>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</si>
  <si>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</si>
  <si>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</si>
  <si>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</si>
  <si>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</si>
  <si>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</si>
  <si>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</si>
  <si>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</si>
  <si>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</si>
  <si>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</si>
  <si>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</si>
  <si>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</si>
  <si>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</si>
  <si>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</si>
  <si>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</si>
  <si>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</si>
  <si>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</si>
  <si>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</si>
  <si>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</si>
  <si>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</si>
  <si>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</si>
  <si>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</si>
  <si>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</si>
  <si>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</si>
  <si>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</si>
  <si>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</si>
  <si>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</si>
  <si>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</si>
  <si>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</si>
  <si>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</si>
  <si>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</si>
  <si>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</si>
  <si>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</si>
  <si>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</si>
  <si>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</si>
  <si>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</si>
  <si>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</si>
  <si>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</si>
  <si>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</si>
  <si>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</si>
  <si>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</si>
  <si>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</si>
  <si>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</si>
  <si>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</si>
  <si>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</si>
  <si>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</si>
  <si>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</si>
  <si>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</si>
  <si>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</si>
  <si>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</si>
  <si>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</si>
  <si>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</si>
  <si>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</si>
  <si>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</si>
  <si>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</si>
  <si>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</si>
  <si>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</si>
  <si>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</si>
  <si>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</si>
  <si>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</si>
  <si>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</si>
  <si>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</si>
  <si>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</si>
  <si>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</si>
  <si>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</si>
  <si>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</si>
  <si>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</si>
  <si>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</si>
  <si>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</si>
  <si>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</si>
  <si>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</si>
  <si>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</si>
  <si>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</si>
  <si>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</si>
  <si>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</si>
  <si>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</si>
  <si>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</si>
  <si>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</si>
  <si>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</si>
  <si>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</si>
  <si>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</si>
  <si>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</si>
  <si>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</si>
  <si>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</si>
  <si>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</si>
  <si>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</si>
  <si>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</si>
  <si>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</si>
  <si>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</si>
  <si>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</si>
  <si>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</si>
  <si>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</si>
  <si>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</si>
  <si>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</si>
  <si>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</si>
  <si>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</si>
  <si>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</si>
  <si>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</si>
  <si>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</si>
  <si>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</si>
  <si>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</si>
  <si>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</si>
  <si>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</si>
  <si>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</si>
  <si>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</si>
  <si>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</si>
  <si>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</si>
  <si>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</si>
  <si>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</si>
  <si>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</si>
  <si>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</si>
  <si>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</si>
  <si>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</si>
  <si>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</si>
  <si>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</si>
  <si>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</si>
  <si>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</si>
  <si>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</si>
  <si>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</si>
  <si>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</si>
  <si>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</si>
  <si>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</si>
  <si>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</si>
  <si>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</si>
  <si>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</si>
  <si>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</si>
  <si>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</si>
  <si>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</si>
  <si>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</si>
  <si>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</si>
  <si>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</si>
  <si>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</si>
  <si>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</si>
  <si>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</si>
  <si>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</si>
  <si>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</si>
  <si>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</si>
  <si>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</si>
  <si>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</si>
  <si>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</si>
  <si>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</si>
  <si>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</si>
  <si>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</si>
  <si>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</si>
  <si>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</si>
  <si>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</si>
  <si>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</si>
  <si>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</si>
  <si>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</si>
  <si>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</si>
  <si>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</si>
  <si>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</si>
  <si>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</si>
  <si>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</si>
  <si>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</si>
  <si>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</si>
  <si>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</si>
  <si>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</si>
  <si>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</si>
  <si>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</si>
  <si>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</si>
  <si>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</si>
  <si>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</si>
  <si>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</si>
  <si>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</si>
  <si>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</si>
  <si>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</si>
  <si>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</si>
  <si>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</si>
  <si>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</si>
  <si>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</si>
  <si>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</si>
  <si>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</si>
  <si>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</si>
  <si>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</si>
  <si>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</si>
  <si>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</si>
  <si>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</si>
  <si>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</si>
  <si>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</si>
  <si>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</si>
  <si>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</si>
  <si>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</si>
  <si>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</si>
  <si>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</si>
  <si>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</si>
  <si>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</si>
  <si>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</si>
  <si>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</si>
  <si>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</si>
  <si>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</si>
  <si>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</si>
  <si>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</si>
  <si>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</si>
  <si>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</si>
  <si>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</si>
  <si>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</si>
  <si>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</si>
  <si>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</si>
  <si>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</si>
  <si>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</si>
  <si>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</si>
  <si>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</si>
  <si>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</si>
  <si>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</si>
  <si>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</si>
  <si>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</si>
  <si>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</si>
  <si>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</si>
  <si>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</si>
  <si>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</si>
  <si>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</si>
  <si>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</si>
  <si>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</si>
  <si>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</si>
  <si>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</si>
  <si>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</si>
  <si>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</si>
  <si>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</si>
  <si>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</si>
  <si>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</si>
  <si>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</si>
  <si>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</si>
  <si>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</si>
  <si>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</si>
  <si>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</si>
  <si>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</si>
  <si>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</si>
  <si>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</si>
  <si>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</si>
  <si>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</si>
  <si>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</si>
  <si>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</si>
  <si>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</si>
  <si>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</si>
  <si>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</si>
  <si>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</si>
  <si>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</si>
  <si>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</si>
  <si>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</si>
  <si>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</si>
  <si>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</si>
  <si>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</si>
  <si>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</si>
  <si>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</si>
  <si>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</si>
  <si>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</si>
  <si>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</si>
  <si>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</si>
  <si>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</si>
  <si>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</si>
  <si>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</si>
  <si>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</si>
  <si>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</si>
  <si>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</si>
  <si>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</si>
  <si>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</si>
  <si>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</si>
  <si>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</si>
  <si>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</si>
  <si>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</si>
  <si>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</si>
  <si>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</si>
  <si>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</si>
  <si>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</si>
  <si>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</si>
  <si>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</si>
  <si>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</si>
  <si>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</si>
  <si>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</si>
  <si>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</si>
  <si>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</si>
  <si>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</si>
  <si>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</si>
  <si>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</si>
  <si>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</si>
  <si>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</si>
  <si>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</si>
  <si>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</si>
  <si>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</si>
  <si>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</si>
  <si>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</si>
  <si>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</si>
  <si>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</si>
  <si>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</si>
  <si>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</si>
  <si>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</si>
  <si>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</si>
  <si>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</si>
  <si>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</si>
  <si>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</si>
  <si>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</si>
  <si>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</si>
  <si>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</si>
  <si>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</si>
  <si>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</si>
  <si>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</si>
  <si>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</si>
  <si>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</si>
  <si>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</si>
  <si>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</si>
  <si>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</si>
  <si>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</si>
  <si>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</si>
  <si>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</si>
  <si>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</si>
  <si>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</si>
  <si>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</si>
  <si>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</si>
  <si>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</si>
  <si>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</si>
  <si>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</si>
  <si>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</si>
  <si>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</si>
  <si>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</si>
  <si>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</si>
  <si>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</si>
  <si>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</si>
  <si>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</si>
  <si>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</si>
  <si>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</si>
  <si>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</si>
  <si>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</si>
  <si>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</si>
  <si>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</si>
  <si>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</si>
  <si>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</si>
  <si>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</si>
  <si>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</si>
  <si>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</si>
  <si>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</si>
  <si>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</si>
  <si>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</si>
  <si>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</si>
  <si>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</si>
  <si>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</si>
  <si>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</si>
  <si>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</si>
  <si>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</si>
  <si>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</si>
  <si>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</si>
  <si>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</si>
  <si>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</si>
  <si>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</si>
  <si>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</si>
  <si>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</si>
  <si>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</si>
  <si>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</si>
  <si>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</si>
  <si>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</si>
  <si>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</si>
  <si>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</si>
  <si>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</si>
  <si>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</si>
  <si>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</si>
  <si>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</si>
  <si>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</si>
  <si>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</si>
  <si>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</si>
  <si>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</si>
  <si>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</si>
  <si>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</si>
  <si>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</si>
  <si>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</si>
  <si>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</si>
  <si>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</si>
  <si>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</si>
  <si>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</si>
  <si>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</si>
  <si>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</si>
  <si>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</si>
  <si>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</si>
  <si>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</si>
  <si>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</si>
  <si>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</si>
  <si>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</si>
  <si>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</si>
  <si>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</si>
  <si>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</si>
  <si>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</si>
  <si>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</si>
  <si>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</si>
  <si>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</si>
  <si>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</si>
  <si>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</si>
  <si>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</si>
  <si>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</si>
  <si>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</si>
  <si>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</si>
  <si>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</si>
  <si>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</si>
  <si>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</si>
  <si>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</si>
  <si>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</si>
  <si>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</si>
  <si>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</si>
  <si>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</si>
  <si>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</si>
  <si>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</si>
  <si>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</si>
  <si>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</si>
  <si>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</si>
  <si>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</si>
  <si>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</si>
  <si>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</si>
  <si>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</si>
  <si>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</si>
  <si>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</si>
  <si>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</si>
  <si>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</si>
  <si>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</si>
  <si>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</si>
  <si>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</si>
  <si>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</si>
  <si>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</si>
  <si>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</si>
  <si>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</si>
  <si>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</si>
  <si>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</si>
  <si>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</si>
  <si>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</si>
  <si>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</si>
  <si>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</si>
  <si>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</si>
  <si>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</si>
  <si>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</si>
  <si>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</si>
  <si>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</si>
  <si>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</si>
  <si>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</si>
  <si>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</si>
  <si>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</si>
  <si>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</si>
  <si>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</si>
  <si>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</si>
  <si>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</si>
  <si>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</si>
  <si>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</si>
  <si>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</si>
  <si>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</si>
  <si>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</si>
  <si>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</si>
  <si>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</si>
  <si>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</si>
  <si>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</si>
  <si>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</si>
  <si>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</si>
  <si>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</si>
  <si>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</si>
  <si>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</si>
  <si>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</si>
  <si>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</si>
  <si>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</si>
  <si>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</si>
  <si>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</si>
  <si>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</si>
  <si>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</si>
  <si>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</si>
  <si>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</si>
  <si>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</si>
  <si>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</si>
  <si>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</si>
  <si>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</si>
  <si>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</si>
  <si>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</si>
  <si>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</si>
  <si>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</si>
  <si>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</si>
  <si>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</si>
  <si>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</si>
  <si>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</si>
  <si>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</si>
  <si>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</si>
  <si>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</si>
  <si>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</si>
  <si>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</si>
  <si>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</si>
  <si>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</si>
  <si>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</si>
  <si>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</si>
  <si>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</si>
  <si>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</si>
  <si>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</si>
  <si>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</si>
  <si>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</si>
  <si>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</si>
  <si>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</si>
  <si>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</si>
  <si>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</si>
  <si>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</si>
  <si>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</si>
  <si>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</si>
  <si>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</si>
  <si>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</si>
  <si>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</si>
  <si>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</si>
  <si>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</si>
  <si>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</si>
  <si>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</si>
  <si>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</si>
  <si>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</si>
  <si>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</si>
  <si>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</si>
  <si>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</si>
  <si>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</si>
  <si>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</si>
  <si>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</si>
  <si>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</si>
  <si>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</si>
  <si>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</si>
  <si>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</si>
  <si>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</si>
  <si>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</si>
  <si>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</si>
  <si>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</si>
  <si>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</si>
  <si>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</si>
  <si>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</si>
  <si>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</si>
  <si>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</si>
  <si>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</si>
  <si>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</si>
  <si>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</si>
  <si>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</si>
  <si>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</si>
  <si>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</si>
  <si>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</si>
  <si>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</si>
  <si>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</si>
  <si>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</si>
  <si>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</si>
  <si>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</si>
  <si>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</si>
  <si>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</si>
  <si>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</si>
  <si>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</si>
  <si>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</si>
  <si>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</si>
  <si>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</si>
  <si>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</si>
  <si>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</si>
  <si>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</si>
  <si>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</si>
  <si>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</si>
  <si>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</si>
  <si>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</si>
  <si>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</si>
  <si>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</si>
  <si>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</si>
  <si>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</si>
  <si>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</si>
  <si>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</si>
  <si>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</si>
  <si>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</si>
  <si>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</si>
  <si>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</si>
  <si>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</si>
  <si>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</si>
  <si>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</si>
  <si>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</si>
  <si>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</si>
  <si>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</si>
  <si>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</si>
  <si>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</si>
  <si>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</si>
  <si>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</si>
  <si>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</si>
  <si>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</si>
  <si>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</si>
  <si>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</si>
  <si>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</si>
  <si>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</si>
  <si>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</si>
  <si>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</si>
  <si>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</si>
  <si>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</si>
  <si>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</si>
  <si>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</si>
  <si>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</si>
  <si>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</si>
  <si>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</si>
  <si>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</si>
  <si>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</si>
  <si>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</si>
  <si>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</si>
  <si>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</si>
  <si>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</si>
  <si>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</si>
  <si>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</si>
  <si>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</si>
  <si>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</si>
  <si>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</si>
  <si>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</si>
  <si>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</si>
  <si>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</si>
  <si>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</si>
  <si>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</si>
  <si>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</si>
  <si>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</si>
  <si>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</si>
  <si>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</si>
  <si>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</si>
  <si>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</si>
  <si>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</si>
  <si>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</si>
  <si>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</si>
  <si>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</si>
  <si>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</si>
  <si>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</si>
  <si>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</si>
  <si>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</si>
  <si>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</si>
  <si>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</si>
  <si>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</si>
  <si>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</si>
  <si>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</si>
  <si>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</si>
  <si>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</si>
  <si>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</si>
  <si>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</si>
  <si>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</si>
  <si>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</si>
  <si>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</si>
  <si>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</si>
  <si>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</si>
  <si>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</si>
  <si>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</si>
  <si>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</si>
  <si>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</si>
  <si>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</si>
  <si>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</si>
  <si>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</si>
  <si>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</si>
  <si>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</si>
  <si>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</si>
  <si>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</si>
  <si>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</si>
  <si>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</si>
  <si>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</si>
  <si>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</si>
  <si>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</si>
  <si>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</si>
  <si>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</si>
  <si>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</si>
  <si>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</si>
  <si>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</si>
  <si>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</si>
  <si>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</si>
  <si>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</si>
  <si>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</si>
  <si>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</si>
  <si>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</si>
  <si>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</si>
  <si>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</si>
  <si>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</si>
  <si>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</si>
  <si>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</si>
  <si>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</si>
  <si>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</si>
  <si>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</si>
  <si>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</si>
  <si>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</si>
  <si>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</si>
  <si>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</si>
  <si>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</si>
  <si>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</si>
  <si>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</si>
  <si>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</si>
  <si>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</si>
  <si>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</si>
  <si>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</si>
  <si>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</si>
  <si>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</si>
  <si>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</si>
  <si>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</si>
  <si>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</si>
  <si>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</si>
  <si>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</si>
  <si>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</si>
  <si>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</si>
  <si>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</si>
  <si>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</si>
  <si>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</si>
  <si>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</si>
  <si>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</si>
  <si>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</si>
  <si>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</si>
  <si>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</si>
  <si>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</si>
  <si>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</si>
  <si>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</si>
  <si>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</si>
  <si>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</si>
  <si>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</si>
  <si>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</si>
  <si>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</si>
  <si>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</si>
  <si>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</si>
  <si>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</si>
  <si>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</si>
  <si>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</si>
  <si>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</si>
  <si>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</si>
  <si>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</si>
  <si>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</si>
  <si>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</si>
  <si>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</si>
  <si>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</si>
  <si>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</si>
  <si>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</si>
  <si>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</si>
  <si>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</si>
  <si>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</si>
  <si>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</si>
  <si>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</si>
  <si>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</si>
  <si>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</si>
  <si>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</si>
  <si>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</si>
  <si>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</si>
  <si>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</si>
  <si>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</si>
  <si>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</si>
  <si>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</si>
  <si>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</si>
  <si>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</si>
  <si>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</si>
  <si>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</si>
  <si>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</si>
  <si>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</si>
  <si>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</si>
  <si>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</si>
  <si>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</si>
  <si>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</si>
  <si>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</si>
  <si>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</si>
  <si>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</si>
  <si>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</si>
  <si>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</si>
  <si>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</si>
  <si>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</si>
  <si>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</si>
  <si>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</si>
  <si>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</si>
  <si>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</si>
  <si>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</si>
  <si>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</si>
  <si>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</si>
  <si>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</si>
  <si>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</si>
  <si>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</si>
  <si>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</si>
  <si>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</si>
  <si>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</si>
  <si>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</si>
  <si>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</si>
  <si>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</si>
  <si>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</si>
  <si>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</si>
  <si>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</si>
  <si>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</si>
  <si>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</si>
  <si>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</si>
  <si>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</si>
  <si>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</si>
  <si>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</si>
  <si>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</si>
  <si>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</si>
  <si>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</si>
  <si>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</si>
  <si>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</si>
  <si>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</si>
  <si>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</si>
  <si>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</si>
  <si>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</si>
  <si>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</si>
  <si>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</si>
  <si>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</si>
  <si>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</si>
  <si>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</si>
  <si>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</si>
  <si>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</si>
  <si>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</si>
  <si>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</si>
  <si>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</si>
  <si>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</si>
  <si>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</si>
  <si>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</si>
  <si>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</si>
  <si>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</si>
  <si>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</si>
  <si>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</si>
  <si>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</si>
  <si>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</si>
  <si>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</si>
  <si>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</si>
  <si>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</si>
  <si>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</si>
  <si>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</si>
  <si>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</si>
  <si>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</si>
  <si>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</si>
  <si>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</si>
  <si>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</si>
  <si>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</si>
  <si>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</si>
  <si>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</si>
  <si>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</si>
  <si>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</si>
  <si>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</si>
  <si>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</si>
  <si>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</si>
  <si>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</si>
  <si>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</si>
  <si>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</si>
  <si>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</si>
  <si>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</si>
  <si>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</si>
  <si>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</si>
  <si>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</si>
  <si>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</si>
  <si>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</si>
  <si>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</si>
  <si>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</si>
  <si>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</si>
  <si>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</si>
  <si>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</si>
  <si>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</si>
  <si>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</si>
  <si>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</si>
  <si>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</si>
  <si>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</si>
  <si>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</si>
  <si>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</si>
  <si>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</si>
  <si>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</si>
  <si>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</si>
  <si>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</si>
  <si>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</si>
  <si>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</si>
  <si>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</si>
  <si>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</si>
  <si>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</si>
  <si>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</si>
  <si>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</si>
  <si>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</si>
  <si>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</si>
  <si>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</si>
  <si>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</si>
  <si>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</si>
  <si>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</si>
  <si>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</si>
  <si>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</si>
  <si>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</si>
  <si>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</si>
  <si>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</si>
  <si>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</si>
  <si>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</si>
  <si>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</si>
  <si>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</si>
  <si>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</si>
  <si>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</si>
  <si>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</si>
  <si>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</si>
  <si>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</si>
  <si>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</si>
  <si>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</si>
  <si>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</si>
  <si>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</si>
  <si>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</si>
  <si>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</si>
  <si>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</si>
  <si>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</si>
  <si>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</si>
  <si>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</si>
  <si>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</si>
  <si>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</si>
  <si>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</si>
  <si>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</si>
  <si>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</si>
  <si>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</si>
  <si>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</si>
  <si>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</si>
  <si>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</si>
  <si>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</si>
  <si>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</si>
  <si>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</si>
  <si>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</si>
  <si>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</si>
  <si>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</si>
  <si>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</si>
  <si>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</si>
  <si>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</si>
  <si>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</si>
  <si>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</si>
  <si>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</si>
  <si>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</si>
  <si>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</si>
  <si>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</si>
  <si>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</si>
  <si>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</si>
  <si>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</si>
  <si>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</si>
  <si>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</si>
  <si>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</si>
  <si>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</si>
  <si>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</si>
  <si>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</si>
  <si>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</si>
  <si>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</si>
  <si>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</si>
  <si>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</si>
  <si>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</si>
  <si>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</si>
  <si>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</si>
  <si>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</si>
  <si>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</si>
  <si>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</si>
  <si>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</si>
  <si>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</si>
  <si>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</si>
  <si>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</si>
  <si>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</si>
  <si>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</si>
  <si>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</si>
  <si>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</si>
  <si>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</si>
  <si>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</si>
  <si>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</si>
  <si>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</si>
  <si>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</si>
  <si>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</si>
  <si>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</si>
  <si>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</si>
  <si>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</si>
  <si>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</si>
  <si>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</si>
  <si>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</si>
  <si>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</si>
  <si>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</si>
  <si>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</si>
  <si>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</si>
  <si>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</si>
  <si>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</si>
  <si>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</si>
  <si>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</si>
  <si>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</si>
  <si>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</si>
  <si>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</si>
  <si>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</si>
  <si>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</si>
  <si>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</si>
  <si>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</si>
  <si>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</si>
  <si>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</si>
  <si>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</si>
  <si>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</si>
  <si>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</si>
  <si>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</si>
  <si>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</si>
  <si>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</si>
  <si>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</si>
  <si>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</si>
  <si>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</si>
  <si>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</si>
  <si>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</si>
  <si>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</si>
  <si>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</si>
  <si>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</si>
  <si>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</si>
  <si>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</si>
  <si>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</si>
  <si>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</si>
  <si>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</si>
  <si>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</si>
  <si>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</si>
  <si>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</si>
  <si>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</si>
  <si>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</si>
  <si>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</si>
  <si>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</si>
  <si>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</si>
  <si>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</si>
  <si>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</si>
  <si>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</si>
  <si>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</si>
  <si>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</si>
  <si>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</si>
  <si>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</si>
  <si>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</si>
  <si>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</si>
  <si>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</si>
  <si>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</si>
  <si>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</si>
  <si>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</si>
  <si>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</si>
  <si>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</si>
  <si>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</si>
  <si>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</si>
  <si>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</si>
  <si>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</si>
  <si>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</si>
  <si>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</si>
  <si>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</si>
  <si>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</si>
  <si>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</si>
  <si>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</si>
  <si>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</si>
  <si>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</si>
  <si>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</si>
  <si>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</si>
  <si>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</si>
  <si>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</si>
  <si>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</si>
  <si>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</si>
  <si>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</si>
  <si>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</si>
  <si>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</si>
  <si>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</si>
  <si>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</si>
  <si>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</si>
  <si>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</si>
  <si>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</si>
  <si>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</si>
  <si>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</si>
  <si>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</si>
  <si>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</si>
  <si>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</si>
  <si>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</si>
  <si>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</si>
  <si>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</si>
  <si>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</si>
  <si>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</si>
  <si>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</si>
  <si>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</si>
  <si>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</si>
  <si>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</si>
  <si>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</si>
  <si>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</si>
  <si>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</si>
  <si>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</si>
  <si>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</si>
  <si>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</si>
  <si>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</si>
  <si>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</si>
  <si>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</si>
  <si>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</si>
  <si>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</si>
  <si>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</si>
  <si>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</si>
  <si>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</si>
  <si>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</si>
  <si>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</si>
  <si>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</si>
  <si>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</si>
  <si>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</si>
  <si>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</si>
  <si>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</si>
  <si>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</si>
  <si>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</si>
  <si>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</si>
  <si>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</si>
  <si>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</si>
  <si>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</si>
  <si>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</si>
  <si>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</si>
  <si>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</si>
  <si>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</si>
  <si>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</si>
  <si>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</si>
  <si>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</si>
  <si>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</si>
  <si>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</si>
  <si>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</si>
  <si>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</si>
  <si>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</si>
  <si>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</si>
  <si>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</si>
  <si>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</si>
  <si>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</si>
  <si>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</si>
  <si>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</si>
  <si>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</si>
  <si>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</si>
  <si>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</si>
  <si>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</si>
  <si>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</si>
  <si>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</si>
  <si>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</si>
  <si>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</si>
  <si>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</si>
  <si>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</si>
  <si>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</si>
  <si>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</si>
  <si>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</si>
  <si>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</si>
  <si>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</si>
  <si>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</si>
  <si>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</si>
  <si>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</si>
  <si>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</si>
  <si>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</si>
  <si>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</si>
  <si>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</si>
  <si>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</si>
  <si>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</si>
  <si>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</si>
  <si>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</si>
  <si>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</si>
  <si>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</si>
  <si>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</si>
  <si>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</si>
  <si>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</si>
  <si>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</si>
  <si>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</si>
  <si>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</si>
  <si>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</si>
  <si>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</si>
  <si>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</si>
  <si>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</si>
  <si>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</si>
  <si>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</si>
  <si>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</si>
  <si>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</si>
  <si>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</si>
  <si>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</si>
  <si>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</si>
  <si>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</si>
  <si>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</si>
  <si>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</si>
  <si>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</si>
  <si>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</si>
  <si>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</si>
  <si>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</si>
  <si>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</si>
  <si>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</si>
  <si>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</si>
  <si>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</si>
  <si>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</si>
  <si>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</si>
  <si>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</si>
  <si>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</si>
  <si>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</si>
  <si>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</si>
  <si>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</si>
  <si>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</si>
  <si>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</si>
  <si>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</si>
  <si>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</si>
  <si>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</si>
  <si>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</si>
  <si>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</si>
  <si>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</si>
  <si>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</si>
  <si>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</si>
  <si>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</si>
  <si>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</si>
  <si>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</si>
  <si>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</si>
  <si>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</si>
  <si>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</si>
  <si>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</si>
  <si>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</si>
  <si>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</si>
  <si>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</si>
  <si>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</si>
  <si>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</si>
  <si>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</si>
  <si>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</si>
  <si>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</si>
  <si>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</si>
  <si>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</si>
  <si>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</si>
  <si>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</si>
  <si>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</si>
  <si>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</si>
  <si>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</si>
  <si>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</si>
  <si>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</si>
  <si>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</si>
  <si>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</si>
  <si>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</si>
  <si>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</si>
  <si>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</si>
  <si>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</si>
  <si>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</si>
  <si>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</si>
  <si>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</si>
  <si>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</si>
  <si>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</si>
  <si>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</si>
  <si>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</si>
  <si>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</si>
  <si>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</si>
  <si>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</si>
  <si>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</si>
  <si>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</si>
  <si>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</si>
  <si>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</si>
  <si>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</si>
  <si>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</si>
  <si>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</si>
  <si>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</si>
  <si>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</si>
  <si>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</si>
  <si>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</si>
  <si>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</si>
  <si>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</si>
  <si>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</si>
  <si>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</si>
  <si>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</si>
  <si>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</si>
  <si>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</si>
  <si>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</si>
  <si>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</si>
  <si>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</si>
  <si>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</si>
  <si>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</si>
  <si>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</si>
  <si>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</si>
  <si>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</si>
  <si>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</si>
  <si>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</si>
  <si>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</si>
  <si>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</si>
  <si>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</si>
  <si>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</si>
  <si>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</si>
  <si>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</si>
  <si>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</si>
  <si>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</si>
  <si>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</si>
  <si>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</si>
  <si>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</si>
  <si>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</si>
  <si>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</si>
  <si>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</si>
  <si>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</si>
  <si>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</si>
  <si>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</si>
  <si>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</si>
  <si>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</si>
  <si>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</si>
  <si>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</si>
  <si>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</si>
  <si>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</si>
  <si>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</si>
  <si>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</si>
  <si>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</si>
  <si>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</si>
  <si>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</si>
  <si>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</si>
  <si>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</si>
  <si>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</si>
  <si>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</si>
  <si>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</si>
  <si>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</si>
  <si>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</si>
  <si>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</si>
  <si>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</si>
  <si>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</si>
  <si>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</si>
  <si>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</si>
  <si>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</si>
  <si>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</si>
  <si>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</si>
  <si>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</si>
  <si>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</si>
  <si>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</si>
  <si>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</si>
  <si>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</si>
  <si>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</si>
  <si>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</si>
  <si>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</si>
  <si>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</si>
  <si>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</si>
  <si>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</si>
  <si>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</si>
  <si>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</si>
  <si>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</si>
  <si>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</si>
  <si>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</si>
  <si>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</si>
  <si>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</si>
  <si>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</si>
  <si>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</si>
  <si>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</si>
  <si>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</si>
  <si>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</si>
  <si>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</si>
  <si>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</si>
  <si>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</si>
  <si>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</si>
  <si>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</si>
  <si>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</si>
  <si>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</si>
  <si>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</si>
  <si>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</si>
  <si>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</si>
  <si>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</si>
  <si>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</si>
  <si>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</si>
  <si>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</si>
  <si>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</si>
  <si>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</si>
  <si>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</si>
  <si>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</si>
  <si>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</si>
  <si>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</si>
  <si>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</si>
  <si>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</si>
  <si>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</si>
  <si>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</si>
  <si>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</si>
  <si>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</si>
  <si>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</si>
  <si>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</si>
  <si>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</si>
  <si>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</si>
  <si>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</si>
  <si>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</si>
  <si>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</si>
  <si>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</si>
  <si>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</si>
  <si>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</si>
  <si>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</si>
  <si>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</si>
  <si>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</si>
  <si>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</si>
  <si>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</si>
  <si>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</si>
  <si>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</si>
  <si>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</si>
  <si>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</si>
  <si>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</si>
  <si>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</si>
  <si>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</si>
  <si>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</si>
  <si>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</si>
  <si>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</si>
  <si>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</si>
  <si>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</si>
  <si>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</si>
  <si>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</si>
  <si>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</si>
  <si>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</si>
  <si>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</si>
  <si>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</si>
  <si>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</si>
  <si>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</si>
  <si>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</si>
  <si>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</si>
  <si>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</si>
  <si>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</si>
  <si>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</si>
  <si>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</si>
  <si>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</si>
  <si>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</si>
  <si>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</si>
  <si>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</si>
  <si>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</si>
  <si>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</si>
  <si>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</si>
  <si>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</si>
  <si>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</si>
  <si>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</si>
  <si>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</si>
  <si>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</si>
  <si>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</si>
  <si>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</si>
  <si>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</si>
  <si>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</si>
  <si>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</si>
  <si>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</si>
  <si>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</si>
  <si>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</si>
  <si>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</si>
  <si>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</si>
  <si>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</si>
  <si>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</si>
  <si>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</si>
  <si>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</si>
  <si>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</si>
  <si>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</si>
  <si>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</si>
  <si>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</si>
  <si>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</si>
  <si>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</si>
  <si>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</si>
  <si>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</si>
  <si>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</si>
  <si>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</si>
  <si>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</si>
  <si>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</si>
  <si>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</si>
  <si>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</si>
  <si>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</si>
  <si>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</si>
  <si>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</si>
  <si>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</si>
  <si>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</si>
  <si>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</si>
  <si>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</si>
  <si>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</si>
  <si>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</si>
  <si>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</si>
  <si>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</si>
  <si>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</si>
  <si>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</si>
  <si>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</si>
  <si>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</si>
  <si>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</si>
  <si>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</si>
  <si>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</si>
  <si>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</si>
  <si>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</si>
  <si>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</si>
  <si>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</si>
  <si>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</si>
  <si>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</si>
  <si>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</si>
  <si>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</si>
  <si>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</si>
  <si>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</si>
  <si>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</si>
  <si>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</si>
  <si>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</si>
  <si>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</si>
  <si>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</si>
  <si>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</si>
  <si>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</si>
  <si>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</si>
  <si>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</si>
  <si>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</si>
  <si>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</si>
  <si>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</si>
  <si>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</si>
  <si>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</si>
  <si>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</si>
  <si>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</si>
  <si>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</si>
  <si>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</si>
  <si>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</si>
  <si>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</si>
  <si>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</si>
  <si>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</si>
  <si>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</si>
  <si>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</si>
  <si>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</si>
  <si>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</si>
  <si>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</si>
  <si>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</si>
  <si>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</si>
  <si>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</si>
  <si>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</si>
  <si>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</si>
  <si>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</si>
  <si>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</si>
  <si>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</si>
  <si>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</si>
  <si>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</si>
  <si>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</si>
  <si>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</si>
  <si>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</si>
  <si>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</si>
  <si>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</si>
  <si>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</si>
  <si>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</si>
  <si>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</si>
  <si>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</si>
  <si>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</si>
  <si>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</si>
  <si>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</si>
  <si>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</si>
  <si>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</si>
  <si>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</si>
  <si>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</si>
  <si>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</si>
  <si>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</si>
  <si>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</si>
  <si>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</si>
  <si>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</si>
  <si>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</si>
  <si>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</si>
  <si>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</si>
  <si>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</si>
  <si>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</si>
  <si>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</si>
  <si>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</si>
  <si>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</si>
  <si>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</si>
  <si>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</si>
  <si>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</si>
  <si>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</si>
  <si>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</si>
  <si>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</si>
  <si>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</si>
  <si>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</si>
  <si>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</si>
  <si>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</si>
  <si>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</si>
  <si>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</si>
  <si>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</si>
  <si>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</si>
  <si>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</si>
  <si>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</si>
  <si>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</si>
  <si>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</si>
  <si>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</si>
  <si>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</si>
  <si>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</si>
  <si>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</si>
  <si>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</si>
  <si>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</si>
  <si>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</si>
  <si>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</si>
  <si>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</si>
  <si>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</si>
  <si>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</si>
  <si>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</si>
  <si>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</si>
  <si>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</si>
  <si>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</si>
  <si>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</si>
  <si>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</si>
  <si>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</si>
  <si>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</si>
  <si>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</si>
  <si>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</si>
  <si>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</si>
  <si>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</si>
  <si>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</si>
  <si>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</si>
  <si>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</si>
  <si>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</si>
  <si>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</si>
  <si>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</si>
  <si>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</si>
  <si>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</si>
  <si>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</si>
  <si>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</si>
  <si>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</si>
  <si>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</si>
  <si>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</si>
  <si>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</si>
  <si>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</si>
  <si>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</si>
  <si>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</si>
  <si>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</si>
  <si>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</si>
  <si>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</si>
  <si>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</si>
  <si>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</si>
  <si>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</si>
  <si>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</si>
  <si>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</si>
  <si>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</si>
  <si>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</si>
  <si>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</si>
  <si>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</si>
  <si>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</si>
  <si>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</si>
  <si>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</si>
  <si>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</si>
  <si>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</si>
  <si>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</si>
  <si>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</si>
  <si>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</si>
  <si>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</si>
  <si>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</si>
  <si>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</si>
  <si>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</si>
  <si>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</si>
  <si>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</si>
  <si>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</si>
  <si>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</si>
  <si>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</si>
  <si>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</si>
  <si>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</si>
  <si>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</si>
  <si>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</si>
  <si>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</si>
  <si>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</si>
  <si>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</si>
  <si>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</si>
  <si>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</si>
  <si>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</si>
  <si>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</si>
  <si>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</si>
  <si>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</si>
  <si>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</si>
  <si>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</si>
  <si>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</si>
  <si>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</si>
  <si>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</si>
  <si>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</si>
  <si>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</si>
  <si>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</si>
  <si>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</si>
  <si>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</si>
  <si>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</si>
  <si>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</si>
  <si>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</si>
  <si>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</si>
  <si>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</si>
  <si>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</si>
  <si>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</si>
  <si>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</si>
  <si>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</si>
  <si>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</si>
  <si>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</si>
  <si>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</si>
  <si>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</si>
  <si>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</si>
  <si>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</si>
  <si>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</si>
  <si>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</si>
  <si>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</si>
  <si>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</si>
  <si>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</si>
  <si>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</si>
  <si>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</si>
  <si>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</si>
  <si>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</si>
  <si>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</si>
  <si>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</si>
  <si>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</si>
  <si>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</si>
  <si>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</si>
  <si>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</si>
  <si>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</si>
  <si>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</si>
  <si>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</si>
  <si>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</si>
  <si>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</si>
  <si>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</si>
  <si>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</si>
  <si>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</si>
  <si>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</si>
  <si>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</si>
  <si>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</si>
  <si>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</si>
  <si>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</si>
  <si>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</si>
  <si>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</si>
  <si>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</si>
  <si>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</si>
  <si>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</si>
  <si>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</si>
  <si>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</si>
  <si>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</si>
  <si>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</si>
  <si>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</si>
  <si>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</si>
  <si>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</si>
  <si>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</si>
  <si>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</si>
  <si>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</si>
  <si>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</si>
  <si>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</si>
  <si>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</si>
  <si>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</si>
  <si>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</si>
  <si>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</si>
  <si>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</si>
  <si>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</si>
  <si>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</si>
  <si>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</si>
  <si>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</si>
  <si>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</si>
  <si>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</si>
  <si>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</si>
  <si>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</si>
  <si>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</si>
  <si>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</si>
  <si>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</si>
  <si>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</si>
  <si>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</si>
  <si>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</si>
  <si>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</si>
  <si>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</si>
  <si>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</si>
  <si>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</si>
  <si>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</si>
  <si>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</si>
  <si>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</si>
  <si>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</si>
  <si>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</si>
  <si>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</si>
  <si>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</si>
  <si>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</si>
  <si>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</si>
  <si>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</si>
  <si>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</si>
  <si>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</si>
  <si>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</si>
  <si>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</si>
  <si>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</si>
  <si>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</si>
  <si>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</si>
  <si>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</si>
  <si>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</si>
  <si>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</si>
  <si>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</si>
  <si>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</si>
  <si>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</si>
  <si>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</si>
  <si>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</si>
  <si>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</si>
  <si>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</si>
  <si>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</si>
  <si>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</si>
  <si>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</si>
  <si>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</si>
  <si>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</si>
  <si>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</si>
  <si>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</si>
  <si>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</si>
  <si>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</si>
  <si>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</si>
  <si>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</si>
  <si>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</si>
  <si>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</si>
  <si>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</si>
  <si>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</si>
  <si>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</si>
  <si>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</si>
  <si>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</si>
  <si>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</si>
  <si>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</si>
  <si>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</si>
  <si>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</si>
  <si>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</si>
  <si>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</si>
  <si>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</si>
  <si>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</si>
  <si>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</si>
  <si>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</si>
  <si>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</si>
  <si>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</si>
  <si>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</si>
  <si>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</si>
  <si>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</si>
  <si>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</si>
  <si>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</si>
  <si>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</si>
  <si>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</si>
  <si>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</si>
  <si>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</si>
  <si>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</si>
  <si>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</si>
  <si>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</si>
  <si>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</si>
  <si>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</si>
  <si>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</si>
  <si>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</si>
  <si>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</si>
  <si>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</si>
  <si>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</si>
  <si>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</si>
  <si>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</si>
  <si>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</si>
  <si>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</si>
  <si>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</si>
  <si>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</si>
  <si>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</si>
  <si>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</si>
  <si>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</si>
  <si>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</si>
  <si>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</si>
  <si>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</si>
  <si>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</si>
  <si>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</si>
  <si>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</si>
  <si>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</si>
  <si>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</si>
  <si>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</si>
  <si>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</si>
  <si>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</si>
  <si>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</si>
  <si>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</si>
  <si>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</si>
  <si>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</si>
  <si>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</si>
  <si>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</si>
  <si>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</si>
  <si>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</si>
  <si>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</si>
  <si>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</si>
  <si>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</si>
  <si>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</si>
  <si>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</si>
  <si>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</si>
  <si>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</si>
  <si>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</si>
  <si>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</si>
  <si>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</si>
  <si>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</si>
  <si>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</si>
  <si>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</si>
  <si>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</si>
  <si>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</si>
  <si>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</si>
  <si>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</si>
  <si>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</si>
  <si>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</si>
  <si>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</si>
  <si>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</si>
  <si>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</si>
  <si>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</si>
  <si>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</si>
  <si>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</si>
  <si>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</si>
  <si>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</si>
  <si>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</si>
  <si>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</si>
  <si>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</si>
  <si>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</si>
  <si>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</si>
  <si>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</si>
  <si>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</si>
  <si>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</si>
  <si>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</si>
  <si>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</si>
  <si>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</si>
  <si>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</si>
  <si>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</si>
  <si>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</si>
  <si>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</si>
  <si>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</si>
  <si>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</si>
  <si>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</si>
  <si>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</si>
  <si>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</si>
  <si>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</si>
  <si>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</si>
  <si>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</si>
  <si>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</si>
  <si>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</si>
  <si>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</si>
  <si>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</si>
  <si>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</si>
  <si>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</si>
  <si>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</si>
  <si>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</si>
  <si>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</si>
  <si>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</si>
  <si>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</si>
  <si>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</si>
  <si>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</si>
  <si>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</si>
  <si>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</si>
  <si>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</si>
  <si>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</si>
  <si>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</si>
  <si>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</si>
  <si>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</si>
  <si>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</si>
  <si>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</si>
  <si>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</si>
  <si>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</si>
  <si>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</si>
  <si>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</si>
  <si>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</si>
  <si>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</si>
  <si>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</si>
  <si>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</si>
  <si>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</si>
  <si>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</si>
  <si>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</si>
  <si>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</si>
  <si>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</si>
  <si>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</si>
  <si>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</si>
  <si>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</si>
  <si>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</si>
  <si>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</si>
  <si>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</si>
  <si>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</si>
  <si>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</si>
  <si>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</si>
  <si>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</si>
  <si>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</si>
  <si>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</si>
  <si>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</si>
  <si>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</si>
  <si>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</si>
  <si>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</si>
  <si>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</si>
  <si>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</si>
  <si>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</si>
  <si>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</si>
  <si>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</si>
  <si>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</si>
  <si>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</si>
  <si>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</si>
  <si>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</si>
  <si>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</si>
  <si>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</si>
  <si>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</si>
  <si>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</si>
  <si>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</si>
  <si>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</si>
  <si>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</si>
  <si>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</si>
  <si>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</si>
  <si>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</si>
  <si>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</si>
  <si>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</si>
  <si>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</si>
  <si>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</si>
  <si>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</si>
  <si>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</si>
  <si>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</si>
  <si>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</si>
  <si>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</si>
  <si>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</si>
  <si>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</si>
  <si>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</si>
  <si>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</si>
  <si>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</si>
  <si>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</si>
  <si>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</si>
  <si>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</si>
  <si>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</si>
  <si>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</si>
  <si>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</si>
  <si>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</si>
  <si>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</si>
  <si>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</si>
  <si>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</si>
  <si>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</si>
  <si>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</si>
  <si>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</si>
  <si>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</si>
  <si>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</si>
  <si>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</si>
  <si>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</si>
  <si>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</si>
  <si>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</si>
  <si>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</si>
  <si>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</si>
  <si>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</si>
  <si>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</si>
  <si>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</si>
  <si>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</si>
  <si>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</si>
  <si>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</si>
  <si>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</si>
  <si>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</si>
  <si>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</si>
  <si>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</si>
  <si>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</si>
  <si>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</si>
  <si>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</si>
  <si>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</si>
  <si>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</si>
  <si>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</si>
  <si>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</si>
  <si>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</si>
  <si>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</si>
  <si>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</si>
  <si>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</si>
  <si>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</si>
  <si>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</si>
  <si>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</si>
  <si>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</si>
  <si>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</si>
  <si>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</si>
  <si>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</si>
  <si>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</si>
  <si>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</si>
  <si>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</si>
  <si>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</si>
  <si>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</si>
  <si>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</si>
  <si>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</si>
  <si>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</si>
  <si>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</si>
  <si>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</si>
  <si>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</si>
  <si>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</si>
  <si>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</si>
  <si>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</si>
  <si>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</si>
  <si>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</si>
  <si>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</si>
  <si>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</si>
  <si>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</si>
  <si>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</si>
  <si>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</si>
  <si>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</si>
  <si>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</si>
  <si>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</si>
  <si>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</si>
  <si>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</si>
  <si>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</si>
  <si>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</si>
  <si>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</si>
  <si>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</si>
  <si>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</si>
  <si>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</si>
  <si>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</si>
  <si>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</si>
  <si>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</si>
  <si>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</si>
  <si>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</si>
  <si>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</si>
  <si>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</si>
  <si>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</si>
  <si>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</si>
  <si>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</si>
  <si>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</si>
  <si>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</si>
  <si>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</si>
  <si>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</si>
  <si>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</si>
  <si>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</si>
  <si>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</si>
  <si>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</si>
  <si>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</si>
  <si>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</si>
  <si>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</si>
  <si>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</si>
  <si>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</si>
  <si>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</si>
  <si>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</si>
  <si>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</si>
  <si>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</si>
  <si>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</si>
  <si>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</si>
  <si>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</si>
  <si>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</si>
  <si>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</si>
  <si>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</si>
  <si>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</si>
  <si>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</si>
  <si>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</si>
  <si>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</si>
  <si>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</si>
  <si>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</si>
  <si>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</si>
  <si>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</si>
  <si>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</si>
  <si>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</si>
  <si>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</si>
  <si>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</si>
  <si>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</si>
  <si>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</si>
  <si>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</si>
  <si>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</si>
  <si>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</si>
  <si>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</si>
  <si>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</si>
  <si>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</si>
  <si>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</si>
  <si>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</si>
  <si>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</si>
  <si>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</si>
  <si>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</si>
  <si>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</si>
  <si>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</si>
  <si>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</si>
  <si>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</si>
  <si>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</si>
  <si>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</si>
  <si>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</si>
  <si>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</si>
  <si>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</si>
  <si>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</si>
  <si>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</si>
  <si>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</si>
  <si>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</si>
  <si>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</si>
  <si>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</si>
  <si>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</si>
  <si>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</si>
  <si>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</si>
  <si>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</si>
  <si>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</si>
  <si>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</si>
  <si>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</si>
  <si>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</si>
  <si>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</si>
  <si>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</si>
  <si>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</si>
  <si>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</si>
  <si>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</si>
  <si>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</si>
  <si>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</si>
  <si>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</si>
  <si>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</si>
  <si>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</si>
  <si>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</si>
  <si>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</si>
  <si>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</si>
  <si>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</si>
  <si>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</si>
  <si>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</si>
  <si>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</si>
  <si>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</si>
  <si>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</si>
  <si>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</si>
  <si>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</si>
  <si>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</si>
  <si>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</si>
  <si>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</si>
  <si>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</si>
  <si>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</si>
  <si>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</si>
  <si>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</si>
  <si>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</si>
  <si>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</si>
  <si>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</si>
  <si>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</si>
  <si>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</si>
  <si>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</si>
  <si>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</si>
  <si>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</si>
  <si>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</si>
  <si>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</si>
  <si>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</si>
  <si>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</si>
  <si>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</si>
  <si>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</si>
  <si>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</si>
  <si>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</si>
  <si>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</si>
  <si>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</si>
  <si>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</si>
  <si>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</si>
  <si>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</si>
  <si>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</si>
  <si>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</si>
  <si>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</si>
  <si>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</si>
  <si>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</si>
  <si>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</si>
  <si>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</si>
  <si>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</si>
  <si>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</si>
  <si>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</si>
  <si>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</si>
  <si>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</si>
  <si>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</si>
  <si>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</si>
  <si>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</si>
  <si>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</si>
  <si>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</si>
  <si>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</si>
  <si>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</si>
  <si>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</si>
  <si>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</si>
  <si>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</si>
  <si>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</si>
  <si>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</si>
  <si>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</si>
  <si>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</si>
  <si>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</si>
  <si>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</si>
  <si>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</si>
  <si>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</si>
  <si>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</si>
  <si>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</si>
  <si>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</si>
  <si>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</si>
  <si>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</si>
  <si>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</si>
  <si>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</si>
  <si>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</si>
  <si>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</si>
  <si>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</si>
  <si>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</si>
  <si>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</si>
  <si>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</si>
  <si>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</si>
  <si>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</si>
  <si>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</si>
  <si>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</si>
  <si>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</si>
  <si>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</si>
  <si>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</si>
  <si>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</si>
  <si>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</si>
  <si>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</si>
  <si>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</si>
  <si>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</si>
  <si>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</si>
  <si>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</si>
  <si>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</si>
  <si>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</si>
  <si>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</si>
  <si>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</si>
  <si>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</si>
  <si>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</si>
  <si>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</si>
  <si>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</si>
  <si>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</si>
  <si>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</si>
  <si>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</si>
  <si>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</si>
  <si>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</si>
  <si>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</si>
  <si>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</si>
  <si>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</si>
  <si>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</si>
  <si>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</si>
  <si>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</si>
  <si>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</si>
  <si>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</si>
  <si>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</si>
  <si>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</si>
  <si>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</si>
  <si>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</si>
  <si>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</si>
  <si>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</si>
  <si>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</si>
  <si>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</si>
  <si>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</si>
  <si>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</si>
  <si>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</si>
  <si>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</si>
  <si>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</si>
  <si>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</si>
  <si>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</si>
  <si>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</si>
  <si>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</si>
  <si>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</si>
  <si>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</si>
  <si>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</si>
  <si>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</si>
  <si>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</si>
  <si>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</si>
  <si>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</si>
  <si>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</si>
  <si>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</si>
  <si>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</si>
  <si>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</si>
  <si>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</si>
  <si>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</si>
  <si>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</si>
  <si>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</si>
  <si>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</si>
  <si>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</si>
  <si>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</si>
  <si>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</si>
  <si>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</si>
  <si>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</si>
  <si>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</si>
  <si>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</si>
  <si>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</si>
  <si>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</si>
  <si>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</si>
  <si>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</si>
  <si>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</si>
  <si>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</si>
  <si>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</si>
  <si>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</si>
  <si>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</si>
  <si>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</si>
  <si>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</si>
  <si>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</si>
  <si>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</si>
  <si>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</si>
  <si>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</si>
  <si>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</si>
  <si>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</si>
  <si>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</si>
  <si>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</si>
  <si>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</si>
  <si>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</si>
  <si>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</si>
  <si>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</si>
  <si>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</si>
  <si>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</si>
  <si>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</si>
  <si>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</si>
  <si>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</si>
  <si>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</si>
  <si>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</si>
  <si>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</si>
  <si>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</si>
  <si>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</si>
  <si>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</si>
  <si>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</si>
  <si>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</si>
  <si>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</si>
  <si>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</si>
  <si>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</si>
  <si>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</si>
  <si>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</si>
  <si>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</si>
  <si>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</si>
  <si>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</si>
  <si>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</si>
  <si>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</si>
  <si>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</si>
  <si>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</si>
  <si>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</si>
  <si>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</si>
  <si>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</si>
  <si>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</si>
  <si>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</si>
  <si>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</si>
  <si>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</si>
  <si>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</si>
  <si>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</si>
  <si>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</si>
  <si>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</si>
  <si>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</si>
  <si>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</si>
  <si>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</si>
  <si>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</si>
  <si>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</si>
  <si>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</si>
  <si>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</si>
  <si>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</si>
  <si>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</si>
  <si>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</si>
  <si>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</si>
  <si>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</si>
  <si>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</si>
  <si>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</si>
  <si>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</si>
  <si>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</si>
  <si>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</si>
  <si>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</si>
  <si>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</si>
  <si>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</si>
  <si>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</si>
  <si>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</si>
  <si>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</si>
  <si>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</si>
  <si>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</si>
  <si>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</si>
  <si>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</si>
  <si>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</si>
  <si>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</si>
  <si>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</si>
  <si>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</si>
  <si>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</si>
  <si>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</si>
  <si>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</si>
  <si>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</si>
  <si>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</si>
  <si>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</si>
  <si>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</si>
  <si>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</si>
  <si>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</si>
  <si>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</si>
  <si>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</si>
  <si>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</si>
  <si>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</si>
  <si>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</si>
  <si>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</si>
  <si>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</si>
  <si>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</si>
  <si>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</si>
  <si>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</si>
  <si>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</si>
  <si>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</si>
  <si>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</si>
  <si>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</si>
  <si>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</si>
  <si>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</si>
  <si>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</si>
  <si>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</si>
  <si>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</si>
  <si>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</si>
  <si>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</si>
  <si>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</si>
  <si>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</si>
  <si>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</si>
  <si>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</si>
  <si>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</si>
  <si>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</si>
  <si>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</si>
  <si>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</si>
  <si>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</si>
  <si>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</si>
  <si>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</si>
  <si>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</si>
  <si>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</si>
  <si>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</si>
  <si>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</si>
  <si>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</si>
  <si>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</si>
  <si>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</si>
  <si>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</si>
  <si>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</si>
  <si>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</si>
  <si>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</si>
  <si>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</si>
  <si>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</si>
  <si>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</si>
  <si>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</si>
  <si>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</si>
  <si>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</si>
  <si>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</si>
  <si>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</si>
  <si>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</si>
  <si>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</si>
  <si>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</si>
  <si>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</si>
  <si>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</si>
  <si>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</si>
  <si>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</si>
  <si>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</si>
  <si>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</si>
  <si>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</si>
  <si>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</si>
  <si>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</si>
  <si>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</si>
  <si>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</si>
  <si>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</si>
  <si>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</si>
  <si>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</si>
  <si>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</si>
  <si>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</si>
  <si>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</si>
  <si>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</si>
  <si>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</si>
  <si>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</si>
  <si>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</si>
  <si>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</si>
  <si>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</si>
  <si>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</si>
  <si>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</si>
  <si>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</si>
  <si>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</si>
  <si>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</si>
  <si>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</si>
  <si>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</si>
  <si>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</si>
  <si>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</si>
  <si>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</si>
  <si>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</si>
  <si>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</si>
  <si>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</si>
  <si>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</si>
  <si>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</si>
  <si>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</si>
  <si>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</si>
  <si>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</si>
  <si>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</si>
  <si>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</si>
  <si>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</si>
  <si>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</si>
  <si>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</si>
  <si>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</si>
  <si>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</si>
  <si>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</si>
  <si>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</si>
  <si>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</si>
  <si>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</si>
  <si>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</si>
  <si>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</si>
  <si>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</si>
  <si>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</si>
  <si>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</si>
  <si>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</si>
  <si>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</si>
  <si>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</si>
  <si>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</si>
  <si>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</si>
  <si>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</si>
  <si>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</si>
  <si>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</si>
  <si>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</si>
  <si>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</si>
  <si>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</si>
  <si>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</si>
  <si>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</si>
  <si>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</si>
  <si>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</si>
  <si>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</si>
  <si>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</si>
  <si>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</si>
  <si>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</si>
  <si>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</si>
  <si>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</si>
  <si>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</si>
  <si>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</si>
  <si>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</si>
  <si>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</si>
  <si>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</si>
  <si>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</si>
  <si>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</si>
  <si>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</si>
  <si>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</si>
  <si>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</si>
  <si>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</si>
  <si>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</si>
  <si>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</si>
  <si>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</si>
  <si>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</si>
  <si>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</si>
  <si>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</si>
  <si>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</si>
  <si>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</si>
  <si>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</si>
  <si>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</si>
  <si>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</si>
  <si>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</si>
  <si>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</si>
  <si>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</si>
  <si>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</si>
  <si>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</si>
  <si>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</si>
  <si>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</si>
  <si>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</si>
  <si>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</si>
  <si>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</si>
  <si>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</si>
  <si>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</si>
  <si>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</si>
  <si>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</si>
  <si>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</si>
  <si>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</si>
  <si>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</si>
  <si>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</si>
  <si>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</si>
  <si>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</si>
  <si>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</si>
  <si>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</si>
  <si>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</si>
  <si>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</si>
  <si>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</si>
  <si>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</si>
  <si>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</si>
  <si>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</si>
  <si>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</si>
  <si>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</si>
  <si>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</si>
  <si>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</si>
  <si>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</si>
  <si>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</si>
  <si>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</si>
  <si>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</si>
  <si>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</si>
  <si>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</si>
  <si>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</si>
  <si>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</si>
  <si>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</si>
  <si>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</si>
  <si>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</si>
  <si>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</si>
  <si>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</si>
  <si>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</si>
  <si>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</si>
  <si>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</si>
  <si>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</si>
  <si>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</si>
  <si>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</si>
  <si>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</si>
  <si>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</si>
  <si>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</si>
  <si>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</si>
  <si>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</si>
  <si>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</si>
  <si>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</si>
  <si>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</si>
  <si>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</si>
  <si>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</si>
  <si>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</si>
  <si>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</si>
  <si>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</si>
  <si>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</si>
  <si>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</si>
  <si>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</si>
  <si>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</si>
  <si>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</si>
  <si>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</si>
  <si>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</si>
  <si>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</si>
  <si>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</si>
  <si>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</si>
  <si>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</si>
  <si>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</si>
  <si>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</si>
  <si>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</si>
  <si>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</si>
  <si>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</si>
  <si>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</si>
  <si>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</si>
  <si>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</si>
  <si>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</si>
  <si>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</si>
  <si>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</si>
  <si>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</si>
  <si>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</si>
  <si>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</si>
  <si>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</si>
  <si>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</si>
  <si>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</si>
  <si>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</si>
  <si>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</si>
  <si>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</si>
  <si>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</si>
  <si>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</si>
  <si>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</si>
  <si>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</si>
  <si>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</si>
  <si>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</si>
  <si>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</si>
  <si>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</si>
  <si>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</si>
  <si>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</si>
  <si>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</si>
  <si>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</si>
  <si>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</si>
  <si>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</si>
  <si>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</si>
  <si>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</si>
  <si>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</si>
  <si>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</si>
  <si>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</si>
  <si>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</si>
  <si>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</si>
  <si>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</si>
  <si>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</si>
  <si>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</si>
  <si>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</si>
  <si>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</si>
  <si>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</si>
  <si>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</si>
  <si>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</si>
  <si>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</si>
  <si>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</si>
  <si>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</si>
  <si>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</si>
  <si>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</si>
  <si>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</si>
  <si>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</si>
  <si>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</si>
  <si>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</si>
  <si>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</si>
  <si>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</si>
  <si>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</si>
  <si>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</si>
  <si>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</si>
  <si>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</si>
  <si>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</si>
  <si>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</si>
  <si>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</si>
  <si>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</si>
  <si>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</si>
  <si>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</si>
  <si>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</si>
  <si>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</si>
  <si>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</si>
  <si>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</si>
  <si>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</si>
  <si>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</si>
  <si>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</si>
  <si>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</si>
  <si>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</si>
  <si>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</si>
  <si>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</si>
  <si>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</si>
  <si>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</si>
  <si>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</si>
  <si>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</si>
  <si>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</si>
  <si>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</si>
  <si>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</si>
  <si>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</si>
  <si>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</si>
  <si>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</si>
  <si>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</si>
  <si>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</si>
  <si>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</si>
  <si>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</si>
  <si>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</si>
  <si>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</si>
  <si>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</si>
  <si>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</si>
  <si>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</si>
  <si>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</si>
  <si>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</si>
  <si>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</si>
  <si>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</si>
  <si>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</si>
  <si>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</si>
  <si>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</si>
  <si>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</si>
  <si>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</si>
  <si>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</si>
  <si>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</si>
  <si>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</si>
  <si>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</si>
  <si>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</si>
  <si>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</si>
  <si>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</si>
  <si>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</si>
  <si>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</si>
  <si>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</si>
  <si>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</si>
  <si>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</si>
  <si>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</si>
  <si>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</si>
  <si>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</si>
  <si>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</si>
  <si>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</si>
  <si>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</si>
  <si>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</si>
  <si>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</si>
  <si>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</si>
  <si>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</si>
  <si>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</si>
  <si>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</si>
  <si>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</si>
  <si>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</si>
  <si>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</si>
  <si>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</si>
  <si>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</si>
  <si>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</si>
  <si>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</si>
  <si>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</si>
  <si>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</si>
  <si>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</si>
  <si>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</si>
  <si>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</si>
  <si>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</si>
  <si>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</si>
  <si>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</si>
  <si>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</si>
  <si>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</si>
  <si>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</si>
  <si>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</si>
  <si>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</si>
  <si>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</si>
  <si>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</si>
  <si>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</si>
  <si>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</si>
  <si>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</si>
  <si>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</si>
  <si>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</si>
  <si>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</si>
  <si>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</si>
  <si>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</si>
  <si>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</si>
  <si>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</si>
  <si>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</si>
  <si>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</si>
  <si>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</si>
  <si>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</si>
  <si>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</si>
  <si>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</si>
  <si>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</si>
  <si>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</si>
  <si>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</si>
  <si>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</si>
  <si>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</si>
  <si>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</si>
  <si>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</si>
  <si>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</si>
  <si>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</si>
  <si>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</si>
  <si>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</si>
  <si>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</si>
  <si>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</si>
  <si>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</si>
  <si>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</si>
  <si>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</si>
  <si>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</si>
  <si>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</si>
  <si>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</si>
  <si>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</si>
  <si>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</si>
  <si>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</si>
  <si>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</si>
  <si>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</si>
  <si>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</si>
  <si>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</si>
  <si>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</si>
  <si>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</si>
  <si>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</si>
  <si>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</si>
  <si>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</si>
  <si>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</si>
  <si>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</si>
  <si>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</si>
  <si>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</si>
  <si>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</si>
  <si>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</si>
  <si>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</si>
  <si>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</si>
  <si>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</si>
  <si>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</si>
  <si>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</si>
  <si>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</si>
  <si>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</si>
  <si>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</si>
  <si>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</si>
  <si>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</si>
  <si>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</si>
  <si>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</si>
  <si>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</si>
  <si>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</si>
  <si>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</si>
  <si>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</si>
  <si>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</si>
  <si>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</si>
  <si>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</si>
  <si>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</si>
  <si>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</si>
  <si>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</si>
  <si>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</si>
  <si>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</si>
  <si>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</si>
  <si>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</si>
  <si>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</si>
  <si>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</si>
  <si>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</si>
  <si>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</si>
  <si>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</si>
  <si>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</si>
  <si>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</si>
  <si>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</si>
  <si>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</si>
  <si>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</si>
  <si>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</si>
  <si>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</si>
  <si>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</si>
  <si>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</si>
  <si>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</si>
  <si>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</si>
  <si>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</si>
  <si>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</si>
  <si>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</si>
  <si>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</si>
  <si>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</si>
  <si>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</si>
  <si>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</si>
  <si>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</si>
  <si>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</si>
  <si>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</si>
  <si>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</si>
  <si>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</si>
  <si>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</si>
  <si>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</si>
  <si>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</si>
  <si>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</si>
  <si>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</si>
  <si>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</si>
  <si>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</si>
  <si>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</si>
  <si>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</si>
  <si>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</si>
  <si>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</si>
  <si>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</si>
  <si>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</si>
  <si>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</si>
  <si>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</si>
  <si>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</si>
  <si>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</si>
  <si>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</si>
  <si>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</si>
  <si>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</si>
  <si>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</si>
  <si>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</si>
  <si>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</si>
  <si>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</si>
  <si>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</si>
  <si>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</si>
  <si>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</si>
  <si>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</si>
  <si>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</si>
  <si>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</si>
  <si>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</si>
  <si>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</si>
  <si>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</si>
  <si>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</si>
  <si>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</si>
  <si>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</si>
  <si>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</si>
  <si>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</si>
  <si>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</si>
  <si>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</si>
  <si>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</si>
  <si>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</si>
  <si>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</si>
  <si>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</si>
  <si>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</si>
  <si>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</si>
  <si>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</si>
  <si>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</si>
  <si>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</si>
  <si>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</si>
  <si>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</si>
  <si>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</si>
  <si>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</si>
  <si>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</si>
  <si>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</si>
  <si>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</si>
  <si>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</si>
  <si>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</si>
  <si>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</si>
  <si>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</si>
  <si>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</si>
  <si>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</si>
  <si>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</si>
  <si>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</si>
  <si>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</si>
  <si>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</si>
  <si>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</si>
  <si>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</si>
  <si>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</si>
  <si>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</si>
  <si>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</si>
  <si>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</si>
  <si>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</si>
  <si>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</si>
  <si>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</si>
  <si>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</si>
  <si>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</si>
  <si>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</si>
  <si>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</si>
  <si>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</si>
  <si>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</si>
  <si>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</si>
  <si>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</si>
  <si>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</si>
  <si>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</si>
  <si>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</si>
  <si>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</si>
  <si>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</si>
  <si>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</si>
  <si>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</si>
  <si>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</si>
  <si>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</si>
  <si>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</si>
  <si>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</si>
  <si>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</si>
  <si>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</si>
  <si>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</si>
  <si>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</si>
  <si>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</si>
  <si>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</si>
  <si>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</si>
  <si>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</si>
  <si>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</si>
  <si>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</si>
  <si>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</si>
  <si>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</si>
  <si>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</si>
  <si>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</si>
  <si>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</si>
  <si>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</si>
  <si>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</si>
  <si>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</si>
  <si>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</si>
  <si>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</si>
  <si>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</si>
  <si>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</si>
  <si>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</si>
  <si>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</si>
  <si>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</si>
  <si>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</si>
  <si>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</si>
  <si>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</si>
  <si>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</si>
  <si>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</si>
  <si>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</si>
  <si>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</si>
  <si>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</si>
  <si>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</si>
  <si>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</si>
  <si>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</si>
  <si>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</si>
  <si>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</si>
  <si>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</si>
  <si>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</si>
  <si>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</si>
  <si>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</si>
  <si>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</si>
  <si>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</si>
  <si>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</si>
  <si>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</si>
  <si>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</si>
  <si>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</si>
  <si>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</si>
  <si>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</si>
  <si>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</si>
  <si>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</si>
  <si>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</si>
  <si>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</si>
  <si>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</si>
  <si>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</si>
  <si>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</si>
  <si>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</si>
  <si>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</si>
  <si>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</si>
  <si>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</si>
  <si>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</si>
  <si>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</si>
  <si>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</si>
  <si>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</si>
  <si>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</si>
  <si>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</si>
  <si>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</si>
  <si>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</si>
  <si>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</si>
  <si>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</si>
  <si>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</si>
  <si>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</si>
  <si>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</si>
  <si>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</si>
  <si>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</si>
  <si>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</si>
  <si>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</si>
  <si>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</si>
  <si>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</si>
  <si>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</si>
  <si>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</si>
  <si>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</si>
  <si>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</si>
  <si>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</si>
  <si>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</si>
  <si>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</si>
  <si>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</si>
  <si>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</si>
  <si>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</si>
  <si>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</si>
  <si>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</si>
  <si>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</si>
  <si>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</si>
  <si>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</si>
  <si>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</si>
  <si>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</si>
  <si>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</si>
  <si>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</si>
  <si>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</si>
  <si>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</si>
  <si>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</si>
  <si>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</si>
  <si>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</si>
  <si>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</si>
  <si>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</si>
  <si>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</si>
  <si>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</si>
  <si>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</si>
  <si>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</si>
  <si>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</si>
  <si>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</si>
  <si>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</si>
  <si>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</si>
  <si>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</si>
  <si>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</si>
  <si>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</si>
  <si>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</si>
  <si>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</si>
  <si>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</si>
  <si>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</si>
  <si>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</si>
  <si>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</si>
  <si>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</si>
  <si>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</si>
  <si>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</si>
  <si>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</si>
  <si>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</si>
  <si>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</si>
  <si>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</si>
  <si>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</si>
  <si>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</si>
  <si>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</si>
  <si>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</si>
  <si>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</si>
  <si>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</si>
  <si>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</si>
  <si>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</si>
  <si>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</si>
  <si>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</si>
  <si>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</si>
  <si>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</si>
  <si>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</si>
  <si>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</si>
  <si>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</si>
  <si>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</si>
  <si>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</si>
  <si>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</si>
  <si>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</si>
  <si>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</si>
  <si>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</si>
  <si>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</si>
  <si>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</si>
  <si>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</si>
  <si>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</si>
  <si>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</si>
  <si>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</si>
  <si>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</si>
  <si>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</si>
  <si>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</si>
  <si>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</si>
  <si>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</si>
  <si>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</si>
  <si>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</si>
  <si>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</si>
  <si>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</si>
  <si>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</si>
  <si>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</si>
  <si>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</si>
  <si>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</si>
  <si>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</si>
  <si>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</si>
  <si>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</si>
  <si>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</si>
  <si>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</si>
  <si>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</si>
  <si>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</si>
  <si>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</si>
  <si>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</si>
  <si>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</si>
  <si>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</si>
  <si>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</si>
  <si>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</si>
  <si>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</si>
  <si>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</si>
  <si>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</si>
  <si>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</si>
  <si>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</si>
  <si>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</si>
  <si>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</si>
  <si>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</si>
  <si>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</si>
  <si>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</si>
  <si>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</si>
  <si>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</si>
  <si>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</si>
  <si>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</si>
  <si>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</si>
  <si>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</si>
  <si>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</si>
  <si>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</si>
  <si>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</si>
  <si>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</si>
  <si>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</si>
  <si>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</si>
  <si>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</si>
  <si>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</si>
  <si>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</si>
  <si>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</si>
  <si>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</si>
  <si>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</si>
  <si>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</si>
  <si>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</si>
  <si>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</si>
  <si>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</si>
  <si>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</si>
  <si>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</si>
  <si>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</si>
  <si>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</si>
  <si>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</si>
  <si>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</si>
  <si>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</si>
  <si>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</si>
  <si>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</si>
  <si>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</si>
  <si>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</si>
  <si>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</si>
  <si>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</si>
  <si>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</si>
  <si>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</si>
  <si>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</si>
  <si>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</si>
  <si>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</si>
  <si>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</si>
  <si>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</si>
  <si>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</si>
  <si>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</si>
  <si>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</si>
  <si>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</si>
  <si>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</si>
  <si>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</si>
  <si>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</si>
  <si>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</si>
  <si>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</si>
  <si>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</si>
  <si>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</si>
  <si>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</si>
  <si>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</si>
  <si>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</si>
  <si>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</si>
  <si>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</si>
  <si>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</si>
  <si>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</si>
  <si>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</si>
  <si>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</si>
  <si>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</si>
  <si>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</si>
  <si>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</si>
  <si>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</si>
  <si>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</si>
  <si>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</si>
  <si>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</si>
  <si>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</si>
  <si>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</si>
  <si>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</si>
  <si>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</si>
  <si>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</si>
  <si>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</si>
  <si>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</si>
  <si>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</si>
  <si>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</si>
  <si>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</si>
  <si>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</si>
  <si>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</si>
  <si>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</si>
  <si>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</si>
  <si>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</si>
  <si>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</si>
  <si>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</si>
  <si>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</si>
  <si>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</si>
  <si>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</si>
  <si>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</si>
  <si>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</si>
  <si>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</si>
  <si>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</si>
  <si>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</si>
  <si>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</si>
  <si>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</si>
  <si>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</si>
  <si>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</si>
  <si>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</si>
  <si>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</si>
  <si>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</si>
  <si>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</si>
  <si>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</si>
  <si>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</si>
  <si>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</si>
  <si>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</si>
  <si>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</si>
  <si>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</si>
  <si>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</si>
  <si>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</si>
  <si>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</si>
  <si>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</si>
  <si>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</si>
  <si>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</si>
  <si>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</si>
  <si>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</si>
  <si>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</si>
  <si>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</si>
  <si>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</si>
  <si>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</si>
  <si>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</si>
  <si>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</si>
  <si>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</si>
  <si>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</si>
  <si>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</si>
  <si>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</si>
  <si>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</si>
  <si>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</si>
  <si>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</si>
  <si>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</si>
  <si>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</si>
  <si>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</si>
  <si>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</si>
  <si>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</si>
  <si>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</si>
  <si>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</si>
  <si>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</si>
  <si>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</si>
  <si>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</si>
  <si>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</si>
  <si>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</si>
  <si>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</si>
  <si>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</si>
  <si>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</si>
  <si>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</si>
  <si>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</si>
  <si>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</si>
  <si>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</si>
  <si>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</si>
  <si>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</si>
  <si>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</si>
  <si>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</si>
  <si>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</si>
  <si>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</si>
  <si>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</si>
  <si>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</si>
  <si>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</si>
  <si>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</si>
  <si>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</si>
  <si>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</si>
  <si>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</si>
  <si>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</si>
  <si>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</si>
  <si>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</si>
  <si>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</si>
  <si>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</si>
  <si>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</si>
  <si>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</si>
  <si>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</si>
  <si>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</si>
  <si>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</si>
  <si>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</si>
  <si>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</si>
  <si>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</si>
  <si>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</si>
  <si>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</si>
  <si>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</si>
  <si>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</si>
  <si>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</si>
  <si>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</si>
  <si>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</si>
  <si>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</si>
  <si>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</si>
  <si>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</si>
  <si>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</si>
  <si>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</si>
  <si>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</si>
  <si>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</si>
  <si>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</si>
  <si>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</si>
  <si>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</si>
  <si>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</si>
  <si>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</si>
  <si>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</si>
  <si>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</si>
  <si>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</si>
  <si>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</si>
  <si>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</si>
  <si>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</si>
  <si>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</si>
  <si>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</si>
  <si>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</si>
  <si>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</si>
  <si>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</si>
  <si>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</si>
  <si>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</si>
  <si>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</si>
  <si>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</si>
  <si>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</si>
  <si>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</si>
  <si>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</si>
  <si>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</si>
  <si>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</si>
  <si>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</si>
  <si>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</si>
  <si>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</si>
  <si>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</si>
  <si>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</si>
  <si>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</si>
  <si>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</si>
  <si>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</si>
  <si>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</si>
  <si>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</si>
  <si>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</si>
  <si>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</si>
  <si>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</si>
  <si>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</si>
  <si>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</si>
  <si>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</si>
  <si>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</si>
  <si>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</si>
  <si>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</si>
  <si>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</si>
  <si>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</si>
  <si>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</si>
  <si>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</si>
  <si>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</si>
  <si>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</si>
  <si>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</si>
  <si>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</si>
  <si>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</si>
  <si>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</si>
  <si>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</si>
  <si>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</si>
  <si>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</si>
  <si>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</si>
  <si>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</si>
  <si>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</si>
  <si>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</si>
  <si>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</si>
  <si>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</si>
  <si>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</si>
  <si>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</si>
  <si>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</si>
  <si>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</si>
  <si>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</si>
  <si>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</si>
  <si>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</si>
  <si>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</si>
  <si>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</si>
  <si>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</si>
  <si>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</si>
  <si>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</si>
  <si>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</si>
  <si>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</si>
  <si>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</si>
  <si>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</si>
  <si>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</si>
  <si>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</si>
  <si>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</si>
  <si>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</si>
  <si>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</si>
  <si>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</si>
  <si>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</si>
  <si>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</si>
  <si>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</si>
  <si>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</si>
  <si>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</si>
  <si>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</si>
  <si>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</si>
  <si>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</si>
  <si>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</si>
  <si>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</si>
  <si>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</si>
  <si>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</si>
  <si>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</si>
  <si>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</si>
  <si>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</si>
  <si>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</si>
  <si>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</si>
  <si>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</si>
  <si>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</si>
  <si>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</si>
  <si>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</si>
  <si>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</si>
  <si>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</si>
  <si>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</si>
  <si>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</si>
  <si>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</si>
  <si>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</si>
  <si>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</si>
  <si>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</si>
  <si>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</si>
  <si>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</si>
  <si>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</si>
  <si>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</si>
  <si>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</si>
  <si>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</si>
  <si>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</si>
  <si>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</si>
  <si>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</si>
  <si>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</si>
  <si>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</si>
  <si>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</si>
  <si>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</si>
  <si>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</si>
  <si>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</si>
  <si>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</si>
  <si>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</si>
  <si>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</si>
  <si>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</si>
  <si>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</si>
  <si>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</si>
  <si>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</si>
  <si>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</si>
  <si>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</si>
  <si>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</si>
  <si>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</si>
  <si>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</si>
  <si>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</si>
  <si>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</si>
  <si>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</si>
  <si>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</si>
  <si>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</si>
  <si>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</si>
  <si>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</si>
  <si>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</si>
  <si>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</si>
  <si>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</si>
  <si>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</si>
  <si>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</si>
  <si>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</si>
  <si>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</si>
  <si>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</si>
  <si>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</si>
  <si>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</si>
  <si>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</si>
  <si>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</si>
  <si>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</si>
  <si>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</si>
  <si>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</si>
  <si>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</si>
  <si>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</si>
  <si>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</si>
  <si>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</si>
  <si>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</si>
  <si>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</si>
  <si>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</si>
  <si>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</si>
  <si>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</si>
  <si>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</si>
  <si>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</si>
  <si>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</si>
  <si>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</si>
  <si>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</si>
  <si>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</si>
  <si>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</si>
  <si>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</si>
  <si>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</si>
  <si>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</si>
  <si>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</si>
  <si>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</si>
  <si>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</si>
  <si>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</si>
  <si>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</si>
  <si>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</si>
  <si>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</si>
  <si>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</si>
  <si>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</si>
  <si>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</si>
  <si>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</si>
  <si>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</si>
  <si>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</si>
  <si>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</si>
  <si>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</si>
  <si>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</si>
  <si>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</si>
  <si>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</si>
  <si>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</si>
  <si>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</si>
  <si>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</si>
  <si>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</si>
  <si>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</si>
  <si>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</si>
  <si>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</si>
  <si>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</si>
  <si>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</si>
  <si>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</si>
  <si>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</si>
  <si>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</si>
  <si>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</si>
  <si>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</si>
  <si>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</si>
  <si>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</si>
  <si>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</si>
  <si>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</si>
  <si>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</si>
  <si>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</si>
  <si>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</si>
  <si>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</si>
  <si>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</si>
  <si>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</si>
  <si>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</si>
  <si>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</si>
  <si>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</si>
  <si>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</si>
  <si>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</si>
  <si>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</si>
  <si>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</si>
  <si>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</si>
  <si>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</si>
  <si>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</si>
  <si>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</si>
  <si>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</si>
  <si>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</si>
  <si>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</si>
  <si>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</si>
  <si>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</si>
  <si>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</si>
  <si>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</si>
  <si>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</si>
  <si>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</si>
  <si>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</si>
  <si>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</si>
  <si>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</si>
  <si>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</si>
  <si>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</si>
  <si>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</si>
  <si>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</si>
  <si>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</si>
  <si>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</si>
  <si>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</si>
  <si>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</si>
  <si>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</si>
  <si>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</si>
  <si>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</si>
  <si>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</si>
  <si>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</si>
  <si>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</si>
  <si>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</si>
  <si>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</si>
  <si>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</si>
  <si>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</si>
  <si>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</si>
  <si>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</si>
  <si>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</si>
  <si>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</si>
  <si>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</si>
  <si>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</si>
  <si>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</si>
  <si>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</si>
  <si>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</si>
  <si>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</si>
  <si>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</si>
  <si>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</si>
  <si>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</si>
  <si>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</si>
  <si>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</si>
  <si>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</si>
  <si>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</si>
  <si>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</si>
  <si>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</si>
  <si>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</si>
  <si>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</si>
  <si>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</si>
  <si>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</si>
  <si>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</si>
  <si>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</si>
  <si>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</si>
  <si>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</si>
  <si>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</si>
  <si>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</si>
  <si>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</si>
  <si>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</si>
  <si>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</si>
  <si>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</si>
  <si>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</si>
  <si>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</si>
  <si>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</si>
  <si>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</si>
  <si>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</si>
  <si>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</si>
  <si>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</si>
  <si>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</si>
  <si>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</si>
  <si>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</si>
  <si>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</si>
  <si>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</si>
  <si>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</si>
  <si>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</si>
  <si>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</si>
  <si>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</si>
  <si>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</si>
  <si>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</si>
  <si>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</si>
  <si>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</si>
  <si>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</si>
  <si>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</si>
  <si>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</si>
  <si>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</si>
  <si>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</si>
  <si>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</si>
  <si>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</si>
  <si>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</si>
  <si>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</si>
  <si>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</si>
  <si>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</si>
  <si>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</si>
  <si>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</si>
  <si>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</si>
  <si>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</si>
  <si>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</si>
  <si>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</si>
  <si>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</si>
  <si>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</si>
  <si>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</si>
  <si>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</si>
  <si>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</si>
  <si>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</si>
  <si>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</si>
  <si>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</si>
  <si>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</si>
  <si>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</si>
  <si>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</si>
  <si>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</si>
  <si>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</si>
  <si>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</si>
  <si>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</si>
  <si>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</si>
  <si>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</si>
  <si>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</si>
  <si>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</si>
  <si>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</si>
  <si>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</si>
  <si>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</si>
  <si>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</si>
  <si>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</si>
  <si>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</si>
  <si>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</si>
  <si>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</si>
  <si>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</si>
  <si>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</si>
  <si>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</si>
  <si>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</si>
  <si>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</si>
  <si>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</si>
  <si>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</si>
  <si>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</si>
  <si>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</si>
  <si>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</si>
  <si>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</si>
  <si>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</si>
  <si>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</si>
  <si>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</si>
  <si>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</si>
  <si>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</si>
  <si>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</si>
  <si>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</si>
  <si>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</si>
  <si>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</si>
  <si>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</si>
  <si>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</si>
  <si>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</si>
  <si>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</si>
  <si>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</si>
  <si>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</si>
  <si>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</si>
  <si>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</si>
  <si>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</si>
  <si>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</si>
  <si>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</si>
  <si>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</si>
  <si>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</si>
  <si>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</si>
  <si>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</si>
  <si>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</si>
  <si>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</si>
  <si>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</si>
  <si>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</si>
  <si>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</si>
  <si>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</si>
  <si>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</si>
  <si>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</si>
  <si>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</si>
  <si>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</si>
  <si>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</si>
  <si>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</si>
  <si>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</si>
  <si>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</si>
  <si>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</si>
  <si>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</si>
  <si>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</si>
  <si>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</si>
  <si>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</si>
  <si>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</si>
  <si>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</si>
  <si>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</si>
  <si>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</si>
  <si>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</si>
  <si>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</si>
  <si>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</si>
  <si>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</si>
  <si>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</si>
  <si>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</si>
  <si>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</si>
  <si>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</si>
  <si>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</si>
  <si>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</si>
  <si>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</si>
  <si>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</si>
  <si>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</si>
  <si>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</si>
  <si>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</si>
  <si>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</si>
  <si>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</si>
  <si>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</si>
  <si>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</si>
  <si>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</si>
  <si>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</si>
  <si>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</si>
  <si>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</si>
  <si>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</si>
  <si>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</si>
  <si>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</si>
  <si>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</si>
  <si>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</si>
  <si>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</si>
  <si>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</si>
  <si>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</si>
  <si>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</si>
  <si>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</si>
  <si>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</si>
  <si>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</si>
  <si>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</si>
  <si>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</si>
  <si>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</si>
  <si>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</si>
  <si>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</si>
  <si>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</si>
  <si>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</si>
  <si>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</si>
  <si>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</si>
  <si>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</si>
  <si>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</si>
  <si>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</si>
  <si>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</si>
  <si>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</si>
  <si>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</si>
  <si>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</si>
  <si>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</si>
  <si>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</si>
  <si>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</si>
  <si>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</si>
  <si>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</si>
  <si>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</si>
  <si>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</si>
  <si>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</si>
  <si>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</si>
  <si>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</si>
  <si>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</si>
  <si>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</si>
  <si>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</si>
  <si>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</si>
  <si>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</si>
  <si>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</si>
  <si>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</si>
  <si>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</si>
  <si>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</si>
  <si>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</si>
  <si>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</si>
  <si>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</si>
  <si>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</si>
  <si>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</si>
  <si>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</si>
  <si>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</si>
  <si>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</si>
  <si>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</si>
  <si>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</si>
  <si>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</si>
  <si>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</si>
  <si>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</si>
  <si>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</si>
  <si>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</si>
  <si>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</si>
  <si>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</si>
  <si>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</si>
  <si>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</si>
  <si>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</si>
  <si>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</si>
  <si>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</si>
  <si>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</si>
  <si>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</si>
  <si>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</si>
  <si>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</si>
  <si>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</si>
  <si>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</si>
  <si>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</si>
  <si>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</si>
  <si>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</si>
  <si>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</si>
  <si>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</si>
  <si>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</si>
  <si>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</si>
  <si>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</si>
  <si>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</si>
  <si>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</si>
  <si>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</si>
  <si>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</si>
  <si>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</si>
  <si>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</si>
  <si>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</si>
  <si>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</si>
  <si>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</si>
  <si>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</si>
  <si>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</si>
  <si>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</si>
  <si>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</si>
  <si>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</si>
  <si>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</si>
  <si>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</si>
  <si>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</si>
  <si>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</si>
  <si>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</si>
  <si>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</si>
  <si>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</si>
  <si>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</si>
  <si>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</si>
  <si>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</si>
  <si>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</si>
  <si>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</si>
  <si>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</si>
  <si>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</si>
  <si>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</si>
  <si>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</si>
  <si>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</si>
  <si>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</si>
  <si>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</si>
  <si>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</si>
  <si>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</si>
  <si>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</si>
  <si>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</si>
  <si>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</si>
  <si>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</si>
  <si>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</si>
  <si>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</si>
  <si>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</si>
  <si>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</si>
  <si>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</si>
  <si>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</si>
  <si>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</si>
  <si>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</si>
  <si>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</si>
  <si>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</si>
  <si>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</si>
  <si>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</si>
  <si>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</si>
  <si>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</si>
  <si>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</si>
  <si>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</si>
  <si>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</si>
  <si>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</si>
  <si>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</si>
  <si>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</si>
  <si>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</si>
  <si>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</si>
  <si>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</si>
  <si>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</si>
  <si>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</si>
  <si>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</si>
  <si>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</si>
  <si>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</si>
  <si>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</si>
  <si>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</si>
  <si>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</si>
  <si>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</si>
  <si>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</si>
  <si>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</si>
  <si>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</si>
  <si>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</si>
  <si>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</si>
  <si>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</si>
  <si>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</si>
  <si>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</si>
  <si>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</si>
  <si>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</si>
  <si>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</si>
  <si>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</si>
  <si>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</si>
  <si>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</si>
  <si>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</si>
  <si>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</si>
  <si>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</si>
  <si>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</si>
  <si>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</si>
  <si>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</si>
  <si>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</si>
  <si>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</si>
  <si>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</si>
  <si>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</si>
  <si>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</si>
  <si>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</si>
  <si>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</si>
  <si>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</si>
  <si>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</si>
  <si>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</si>
  <si>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</si>
  <si>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</si>
  <si>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</si>
  <si>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</si>
  <si>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</si>
  <si>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</si>
  <si>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</si>
  <si>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</si>
  <si>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</si>
  <si>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</si>
  <si>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</si>
  <si>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</si>
  <si>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</si>
  <si>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</si>
  <si>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</si>
  <si>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</si>
  <si>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</si>
  <si>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</si>
  <si>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</si>
  <si>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</si>
  <si>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</si>
  <si>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</si>
  <si>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</si>
  <si>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</si>
  <si>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</si>
  <si>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</si>
  <si>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</si>
  <si>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</si>
  <si>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</si>
  <si>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</si>
  <si>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</si>
  <si>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</si>
  <si>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</si>
  <si>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</si>
  <si>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</si>
  <si>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</si>
  <si>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</si>
  <si>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</si>
  <si>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</si>
  <si>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</si>
  <si>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</si>
  <si>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</si>
  <si>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</si>
  <si>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</si>
  <si>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</si>
  <si>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</si>
  <si>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</si>
  <si>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</si>
  <si>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</si>
  <si>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</si>
  <si>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</si>
  <si>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</si>
  <si>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</si>
  <si>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</si>
  <si>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</si>
  <si>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</si>
  <si>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</si>
  <si>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</si>
  <si>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</si>
  <si>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</si>
  <si>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</si>
  <si>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</si>
  <si>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</si>
  <si>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</si>
  <si>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</si>
  <si>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</si>
  <si>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</si>
  <si>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</si>
  <si>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</si>
  <si>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</si>
  <si>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</si>
  <si>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</si>
  <si>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</si>
  <si>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</si>
  <si>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</si>
  <si>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</si>
  <si>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</si>
  <si>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</si>
  <si>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</si>
  <si>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</si>
  <si>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</si>
  <si>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</si>
  <si>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</si>
  <si>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</si>
  <si>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</si>
  <si>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</si>
  <si>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</si>
  <si>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</si>
  <si>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</si>
  <si>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</si>
  <si>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</si>
  <si>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</si>
  <si>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</si>
  <si>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</si>
  <si>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</si>
  <si>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</si>
  <si>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</si>
  <si>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</si>
  <si>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</si>
  <si>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</si>
  <si>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</si>
  <si>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</si>
  <si>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</si>
  <si>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</si>
  <si>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</si>
  <si>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</si>
  <si>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</si>
  <si>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</si>
  <si>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</si>
  <si>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</si>
  <si>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</si>
  <si>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</si>
  <si>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</si>
  <si>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</si>
  <si>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</si>
  <si>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</si>
  <si>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</si>
  <si>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</si>
  <si>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</si>
  <si>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</si>
  <si>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</si>
  <si>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</si>
  <si>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</si>
  <si>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</si>
  <si>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</si>
  <si>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</si>
  <si>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</si>
  <si>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</si>
  <si>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</si>
  <si>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</si>
  <si>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</si>
  <si>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</si>
  <si>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</si>
  <si>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</si>
  <si>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</si>
  <si>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</si>
  <si>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</si>
  <si>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</si>
  <si>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</si>
  <si>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</si>
  <si>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</si>
  <si>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</si>
  <si>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</si>
  <si>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</si>
  <si>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</si>
  <si>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</si>
  <si>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</si>
  <si>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</si>
  <si>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</si>
  <si>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</si>
  <si>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</si>
  <si>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</si>
  <si>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</si>
  <si>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</si>
  <si>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</si>
  <si>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</si>
  <si>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</si>
  <si>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</si>
  <si>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</si>
  <si>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</si>
  <si>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</si>
  <si>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</si>
  <si>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</si>
  <si>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</si>
  <si>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</si>
  <si>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</si>
  <si>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</si>
  <si>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</si>
  <si>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</si>
  <si>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</si>
  <si>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</si>
  <si>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</si>
  <si>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</si>
  <si>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</si>
  <si>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</si>
  <si>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</si>
  <si>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</si>
  <si>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</si>
  <si>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</si>
  <si>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</si>
  <si>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</si>
  <si>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</si>
  <si>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</si>
  <si>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</si>
  <si>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</si>
  <si>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</si>
  <si>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</si>
  <si>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</si>
  <si>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</si>
  <si>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</si>
  <si>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</si>
  <si>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</si>
  <si>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</si>
  <si>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</si>
  <si>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</si>
  <si>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</si>
  <si>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</si>
  <si>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</si>
  <si>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</si>
  <si>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</si>
  <si>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</si>
  <si>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</si>
  <si>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</si>
  <si>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</si>
  <si>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</si>
  <si>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</si>
  <si>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</si>
  <si>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</si>
  <si>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</si>
  <si>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</si>
  <si>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</si>
  <si>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</si>
  <si>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</si>
  <si>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</si>
  <si>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</si>
  <si>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</si>
  <si>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</si>
  <si>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</si>
  <si>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</si>
  <si>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</si>
  <si>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</si>
  <si>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NIL</t>
  </si>
  <si>
    <t>Sum of TotalPrice</t>
  </si>
  <si>
    <t>Row Labels</t>
  </si>
  <si>
    <t>Grand Total</t>
  </si>
  <si>
    <t>Count of OrderID</t>
  </si>
  <si>
    <t>Distinct Count of OrderID</t>
  </si>
  <si>
    <t>Distinct Count of CustomerID</t>
  </si>
  <si>
    <t>Sum of Quantity</t>
  </si>
  <si>
    <t>avg order value</t>
  </si>
  <si>
    <t>order completion rate</t>
  </si>
  <si>
    <t>Average Cart Size</t>
  </si>
  <si>
    <t>Column Labels</t>
  </si>
  <si>
    <t>2023</t>
  </si>
  <si>
    <t>2024</t>
  </si>
  <si>
    <t>2025</t>
  </si>
  <si>
    <t>Jan</t>
  </si>
  <si>
    <t>Feb</t>
  </si>
  <si>
    <t>Mar</t>
  </si>
  <si>
    <t>Apr</t>
  </si>
  <si>
    <t>May</t>
  </si>
  <si>
    <t>Jun</t>
  </si>
  <si>
    <t>Jul</t>
  </si>
  <si>
    <t>Aug</t>
  </si>
  <si>
    <t>Sep</t>
  </si>
  <si>
    <t>Oct</t>
  </si>
  <si>
    <t>Nov</t>
  </si>
  <si>
    <t>Dec</t>
  </si>
  <si>
    <t>Average of TotalPrice</t>
  </si>
  <si>
    <t>E-COMMERCE EXECUTIVE DASHBOARD</t>
  </si>
  <si>
    <t>Coupon Usage Rate (%)</t>
  </si>
  <si>
    <t>Coupon Used</t>
  </si>
  <si>
    <t>Average Coupon Order Value</t>
  </si>
  <si>
    <t>CUSTOMER &amp; MARKETING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</si>
</sst>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yyyy\-mm\-dd"/>
    <numFmt numFmtId="165" formatCode="0.0%"/>
  </numFmts>
  <fonts count="6">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sz val="10"/>
      <color theme="1"/>
      <name val="Arial Unicode MS"/>
    </font>
    <font>
      <b/>
      <sz val="72"/>
      <color theme="9" tint="-0.499984740745262"/>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44" fontId="0" fillId="0" borderId="0" xfId="0" applyNumberFormat="1"/>
    <xf numFmtId="44" fontId="0" fillId="0" borderId="0" xfId="2" applyFont="1"/>
    <xf numFmtId="0" fontId="0" fillId="0" borderId="0" xfId="0" pivotButton="1"/>
    <xf numFmtId="0" fontId="0" fillId="0" borderId="0" xfId="0" applyAlignment="1">
      <alignment horizontal="left"/>
    </xf>
    <xf numFmtId="165" fontId="0" fillId="0" borderId="0" xfId="3" applyNumberFormat="1" applyFont="1"/>
    <xf numFmtId="10" fontId="0" fillId="0" borderId="0" xfId="3" applyNumberFormat="1" applyFont="1"/>
    <xf numFmtId="0" fontId="4" fillId="0" borderId="0" xfId="0" applyFont="1" applyAlignment="1">
      <alignment vertical="center"/>
    </xf>
    <xf numFmtId="2" fontId="0" fillId="0" borderId="0" xfId="0" applyNumberFormat="1"/>
    <xf numFmtId="44" fontId="3" fillId="0" borderId="0" xfId="2" applyFont="1"/>
    <xf numFmtId="0" fontId="3" fillId="0" borderId="0" xfId="0" applyFont="1"/>
    <xf numFmtId="44" fontId="3" fillId="0" borderId="0" xfId="0" applyNumberFormat="1" applyFont="1"/>
    <xf numFmtId="165" fontId="3" fillId="0" borderId="0" xfId="3" applyNumberFormat="1" applyFont="1"/>
    <xf numFmtId="2" fontId="3" fillId="0" borderId="0" xfId="0" applyNumberFormat="1" applyFont="1"/>
    <xf numFmtId="0" fontId="0" fillId="0" borderId="0" xfId="1" applyNumberFormat="1" applyFont="1"/>
    <xf numFmtId="0" fontId="5"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xf>
    <xf numFmtId="0" fontId="0" fillId="0" borderId="0" xfId="0" applyAlignment="1">
      <alignment horizontal="center"/>
    </xf>
  </cellXfs>
  <cellStyles count="4">
    <cellStyle name="Comma" xfId="1" builtinId="3"/>
    <cellStyle name="Currency" xfId="2" builtinId="4"/>
    <cellStyle name="Normal" xfId="0" builtinId="0"/>
    <cellStyle name="Percent" xfId="3" builtinId="5"/>
  </cellStyles>
  <dxfs count="8">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34" Type="http://schemas.openxmlformats.org/officeDocument/2006/relationships/pivotCacheDefinition" Target="pivotCache/pivotCacheDefinition1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3.xml"/><Relationship Id="rId38" Type="http://schemas.openxmlformats.org/officeDocument/2006/relationships/pivotTable" Target="pivotTables/pivotTable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3.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6.xml"/><Relationship Id="rId37" Type="http://schemas.openxmlformats.org/officeDocument/2006/relationships/pivotTable" Target="pivotTables/pivotTable2.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2.xml"/><Relationship Id="rId36" Type="http://schemas.openxmlformats.org/officeDocument/2006/relationships/pivotTable" Target="pivotTables/pivotTable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ivotCacheDefinition" Target="pivotCache/pivotCacheDefinition15.xml"/><Relationship Id="rId43"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Dashboard.xlsx]Renvue by 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a:t>REVENUE BY PRODUCT</a:t>
            </a:r>
            <a:endParaRPr lang="en-NG"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'Renvue by product'!$B$3</c:f>
              <c:strCache>
                <c:ptCount val="1"/>
                <c:pt idx="0">
                  <c:v>Total</c:v>
                </c:pt>
              </c:strCache>
            </c:strRef>
          </c:tx>
          <c:spPr>
            <a:solidFill>
              <a:schemeClr val="accent1"/>
            </a:solidFill>
            <a:ln>
              <a:noFill/>
            </a:ln>
            <a:effectLst/>
          </c:spPr>
          <c:invertIfNegative val="0"/>
          <c:cat>
            <c:strRef>
              <c:f>'Renvue by product'!$A$4:$A$11</c:f>
              <c:strCache>
                <c:ptCount val="7"/>
                <c:pt idx="0">
                  <c:v>Chair</c:v>
                </c:pt>
                <c:pt idx="1">
                  <c:v>Desk</c:v>
                </c:pt>
                <c:pt idx="2">
                  <c:v>Laptop</c:v>
                </c:pt>
                <c:pt idx="3">
                  <c:v>Monitor</c:v>
                </c:pt>
                <c:pt idx="4">
                  <c:v>Phone</c:v>
                </c:pt>
                <c:pt idx="5">
                  <c:v>Printer</c:v>
                </c:pt>
                <c:pt idx="6">
                  <c:v>Tablet</c:v>
                </c:pt>
              </c:strCache>
            </c:strRef>
          </c:cat>
          <c:val>
            <c:numRef>
              <c:f>'Renvue by product'!$B$4:$B$11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85D5-4110-ADD0-6A8A3EC21FF9}"/>
            </c:ext>
          </c:extLst>
        </c:ser>
        <c:dLbls>
          <c:showLegendKey val="0"/>
          <c:showVal val="0"/>
          <c:showCatName val="0"/>
          <c:showSerName val="0"/>
          <c:showPercent val="0"/>
          <c:showBubbleSize val="0"/>
        </c:dLbls>
        <c:gapWidth val="219"/>
        <c:overlap val="-27"/>
        <c:axId val="607482672"/>
        <c:axId val="607482312"/>
      </c:barChart>
      <c:catAx>
        <c:axId val="60748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7482312"/>
        <c:crosses val="autoZero"/>
        <c:auto val="1"/>
        <c:lblAlgn val="ctr"/>
        <c:lblOffset val="100"/>
        <c:noMultiLvlLbl val="0"/>
      </c:catAx>
      <c:valAx>
        <c:axId val="607482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748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Dashboard.xlsx]Revenue by Payment Method!PivotTable4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2000" b="1">
                <a:solidFill>
                  <a:sysClr val="windowText" lastClr="000000"/>
                </a:solidFill>
                <a:effectLst/>
              </a:rPr>
              <a:t>REVENUE BY PAYMENT METHOD</a:t>
            </a:r>
            <a:endParaRPr lang="en-NG" sz="2000">
              <a:solidFill>
                <a:sysClr val="windowText" lastClr="00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Payment Method'!$B$3</c:f>
              <c:strCache>
                <c:ptCount val="1"/>
                <c:pt idx="0">
                  <c:v>Total</c:v>
                </c:pt>
              </c:strCache>
            </c:strRef>
          </c:tx>
          <c:spPr>
            <a:solidFill>
              <a:schemeClr val="accent1"/>
            </a:solidFill>
            <a:ln>
              <a:noFill/>
            </a:ln>
            <a:effectLst/>
          </c:spPr>
          <c:invertIfNegative val="0"/>
          <c:cat>
            <c:strRef>
              <c:f>'Revenue by Payment Method'!$A$4:$A$9</c:f>
              <c:strCache>
                <c:ptCount val="5"/>
                <c:pt idx="0">
                  <c:v>Cash</c:v>
                </c:pt>
                <c:pt idx="1">
                  <c:v>Credit Card</c:v>
                </c:pt>
                <c:pt idx="2">
                  <c:v>Debit Card</c:v>
                </c:pt>
                <c:pt idx="3">
                  <c:v>Gift Card</c:v>
                </c:pt>
                <c:pt idx="4">
                  <c:v>Online</c:v>
                </c:pt>
              </c:strCache>
            </c:strRef>
          </c:cat>
          <c:val>
            <c:numRef>
              <c:f>'Revenue by Payment Method'!$B$4:$B$9</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0BD8-41F5-9A09-736CBCB99257}"/>
            </c:ext>
          </c:extLst>
        </c:ser>
        <c:dLbls>
          <c:showLegendKey val="0"/>
          <c:showVal val="0"/>
          <c:showCatName val="0"/>
          <c:showSerName val="0"/>
          <c:showPercent val="0"/>
          <c:showBubbleSize val="0"/>
        </c:dLbls>
        <c:gapWidth val="219"/>
        <c:overlap val="-27"/>
        <c:axId val="559603856"/>
        <c:axId val="559604576"/>
      </c:barChart>
      <c:catAx>
        <c:axId val="55960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9604576"/>
        <c:crosses val="autoZero"/>
        <c:auto val="1"/>
        <c:lblAlgn val="ctr"/>
        <c:lblOffset val="100"/>
        <c:noMultiLvlLbl val="0"/>
      </c:catAx>
      <c:valAx>
        <c:axId val="55960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960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Dashboard.xlsx]Revenue Trend by Date!PivotTable2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a:solidFill>
                  <a:sysClr val="windowText" lastClr="000000"/>
                </a:solidFill>
              </a:rPr>
              <a:t>REVENUE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Trend by Date'!$B$3:$B$4</c:f>
              <c:strCache>
                <c:ptCount val="1"/>
                <c:pt idx="0">
                  <c:v>2023</c:v>
                </c:pt>
              </c:strCache>
            </c:strRef>
          </c:tx>
          <c:spPr>
            <a:solidFill>
              <a:schemeClr val="accent1"/>
            </a:solidFill>
            <a:ln>
              <a:noFill/>
            </a:ln>
            <a:effectLst/>
          </c:spPr>
          <c:invertIfNegative val="0"/>
          <c:cat>
            <c:strRef>
              <c:f>'Revenue Trend by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 by Date'!$B$5:$B$17</c:f>
              <c:numCache>
                <c:formatCode>General</c:formatCode>
                <c:ptCount val="12"/>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numCache>
            </c:numRef>
          </c:val>
          <c:extLst>
            <c:ext xmlns:c16="http://schemas.microsoft.com/office/drawing/2014/chart" uri="{C3380CC4-5D6E-409C-BE32-E72D297353CC}">
              <c16:uniqueId val="{00000000-A1D9-4E85-AADB-582DFE96BF31}"/>
            </c:ext>
          </c:extLst>
        </c:ser>
        <c:ser>
          <c:idx val="1"/>
          <c:order val="1"/>
          <c:tx>
            <c:strRef>
              <c:f>'Revenue Trend by Date'!$C$3:$C$4</c:f>
              <c:strCache>
                <c:ptCount val="1"/>
                <c:pt idx="0">
                  <c:v>2024</c:v>
                </c:pt>
              </c:strCache>
            </c:strRef>
          </c:tx>
          <c:spPr>
            <a:solidFill>
              <a:schemeClr val="accent2"/>
            </a:solidFill>
            <a:ln>
              <a:noFill/>
            </a:ln>
            <a:effectLst/>
          </c:spPr>
          <c:invertIfNegative val="0"/>
          <c:cat>
            <c:strRef>
              <c:f>'Revenue Trend by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 by Date'!$C$5:$C$17</c:f>
              <c:numCache>
                <c:formatCode>General</c:formatCode>
                <c:ptCount val="12"/>
                <c:pt idx="0">
                  <c:v>38528.079999999994</c:v>
                </c:pt>
                <c:pt idx="1">
                  <c:v>36909.570000000014</c:v>
                </c:pt>
                <c:pt idx="2">
                  <c:v>36030.899999999994</c:v>
                </c:pt>
                <c:pt idx="3">
                  <c:v>49613.139999999992</c:v>
                </c:pt>
                <c:pt idx="4">
                  <c:v>27909.110000000004</c:v>
                </c:pt>
                <c:pt idx="5">
                  <c:v>68068.539999999979</c:v>
                </c:pt>
                <c:pt idx="6">
                  <c:v>42963.98</c:v>
                </c:pt>
                <c:pt idx="7">
                  <c:v>31991.07</c:v>
                </c:pt>
                <c:pt idx="8">
                  <c:v>39794.979999999996</c:v>
                </c:pt>
                <c:pt idx="9">
                  <c:v>37226.969999999994</c:v>
                </c:pt>
                <c:pt idx="10">
                  <c:v>32413.760000000006</c:v>
                </c:pt>
                <c:pt idx="11">
                  <c:v>38785.769999999997</c:v>
                </c:pt>
              </c:numCache>
            </c:numRef>
          </c:val>
          <c:extLst>
            <c:ext xmlns:c16="http://schemas.microsoft.com/office/drawing/2014/chart" uri="{C3380CC4-5D6E-409C-BE32-E72D297353CC}">
              <c16:uniqueId val="{00000001-A1D9-4E85-AADB-582DFE96BF31}"/>
            </c:ext>
          </c:extLst>
        </c:ser>
        <c:ser>
          <c:idx val="2"/>
          <c:order val="2"/>
          <c:tx>
            <c:strRef>
              <c:f>'Revenue Trend by Date'!$D$3:$D$4</c:f>
              <c:strCache>
                <c:ptCount val="1"/>
                <c:pt idx="0">
                  <c:v>2025</c:v>
                </c:pt>
              </c:strCache>
            </c:strRef>
          </c:tx>
          <c:spPr>
            <a:solidFill>
              <a:schemeClr val="accent3"/>
            </a:solidFill>
            <a:ln>
              <a:noFill/>
            </a:ln>
            <a:effectLst/>
          </c:spPr>
          <c:invertIfNegative val="0"/>
          <c:cat>
            <c:strRef>
              <c:f>'Revenue Trend by Date'!$A$5:$A$17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 by Date'!$D$5:$D$17</c:f>
              <c:numCache>
                <c:formatCode>General</c:formatCode>
                <c:ptCount val="12"/>
                <c:pt idx="0">
                  <c:v>29099.399999999998</c:v>
                </c:pt>
                <c:pt idx="1">
                  <c:v>35317.549999999996</c:v>
                </c:pt>
                <c:pt idx="2">
                  <c:v>39200.660000000011</c:v>
                </c:pt>
                <c:pt idx="3">
                  <c:v>31821.200000000001</c:v>
                </c:pt>
                <c:pt idx="4">
                  <c:v>43396.639999999992</c:v>
                </c:pt>
                <c:pt idx="5">
                  <c:v>53047.399999999994</c:v>
                </c:pt>
              </c:numCache>
            </c:numRef>
          </c:val>
          <c:extLst>
            <c:ext xmlns:c16="http://schemas.microsoft.com/office/drawing/2014/chart" uri="{C3380CC4-5D6E-409C-BE32-E72D297353CC}">
              <c16:uniqueId val="{00000002-A1D9-4E85-AADB-582DFE96BF31}"/>
            </c:ext>
          </c:extLst>
        </c:ser>
        <c:dLbls>
          <c:showLegendKey val="0"/>
          <c:showVal val="0"/>
          <c:showCatName val="0"/>
          <c:showSerName val="0"/>
          <c:showPercent val="0"/>
          <c:showBubbleSize val="0"/>
        </c:dLbls>
        <c:gapWidth val="219"/>
        <c:axId val="612210408"/>
        <c:axId val="612211128"/>
      </c:barChart>
      <c:catAx>
        <c:axId val="61221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2211128"/>
        <c:crosses val="autoZero"/>
        <c:auto val="1"/>
        <c:lblAlgn val="ctr"/>
        <c:lblOffset val="100"/>
        <c:noMultiLvlLbl val="0"/>
      </c:catAx>
      <c:valAx>
        <c:axId val="612211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2210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Dashboard.xlsx]Renvue by product!PivotTable3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a:solidFill>
                  <a:sysClr val="windowText" lastClr="000000"/>
                </a:solidFill>
              </a:rPr>
              <a:t>REVENUE BY PRODUCT</a:t>
            </a:r>
            <a:endParaRPr lang="en-NG"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'Renvue by product'!$B$3</c:f>
              <c:strCache>
                <c:ptCount val="1"/>
                <c:pt idx="0">
                  <c:v>Total</c:v>
                </c:pt>
              </c:strCache>
            </c:strRef>
          </c:tx>
          <c:spPr>
            <a:solidFill>
              <a:schemeClr val="accent2"/>
            </a:solidFill>
            <a:ln>
              <a:noFill/>
            </a:ln>
            <a:effectLst/>
          </c:spPr>
          <c:invertIfNegative val="0"/>
          <c:cat>
            <c:strRef>
              <c:f>'Renvue by product'!$A$4:$A$11</c:f>
              <c:strCache>
                <c:ptCount val="7"/>
                <c:pt idx="0">
                  <c:v>Chair</c:v>
                </c:pt>
                <c:pt idx="1">
                  <c:v>Desk</c:v>
                </c:pt>
                <c:pt idx="2">
                  <c:v>Laptop</c:v>
                </c:pt>
                <c:pt idx="3">
                  <c:v>Monitor</c:v>
                </c:pt>
                <c:pt idx="4">
                  <c:v>Phone</c:v>
                </c:pt>
                <c:pt idx="5">
                  <c:v>Printer</c:v>
                </c:pt>
                <c:pt idx="6">
                  <c:v>Tablet</c:v>
                </c:pt>
              </c:strCache>
            </c:strRef>
          </c:cat>
          <c:val>
            <c:numRef>
              <c:f>'Renvue by product'!$B$4:$B$11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2138-40C5-80C6-14718B2925FE}"/>
            </c:ext>
          </c:extLst>
        </c:ser>
        <c:dLbls>
          <c:showLegendKey val="0"/>
          <c:showVal val="0"/>
          <c:showCatName val="0"/>
          <c:showSerName val="0"/>
          <c:showPercent val="0"/>
          <c:showBubbleSize val="0"/>
        </c:dLbls>
        <c:gapWidth val="219"/>
        <c:overlap val="-27"/>
        <c:axId val="607482672"/>
        <c:axId val="607482312"/>
      </c:barChart>
      <c:catAx>
        <c:axId val="60748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7482312"/>
        <c:crosses val="autoZero"/>
        <c:auto val="1"/>
        <c:lblAlgn val="ctr"/>
        <c:lblOffset val="100"/>
        <c:noMultiLvlLbl val="0"/>
      </c:catAx>
      <c:valAx>
        <c:axId val="607482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748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Dashboard.xlsx]Revenue by Payment Method!PivotTable4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2000" b="1">
                <a:solidFill>
                  <a:sysClr val="windowText" lastClr="000000"/>
                </a:solidFill>
                <a:effectLst/>
              </a:rPr>
              <a:t>REVENUE BY PAYMENT METHOD</a:t>
            </a:r>
            <a:endParaRPr lang="en-NG" sz="2000">
              <a:solidFill>
                <a:sysClr val="windowText" lastClr="00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Payment Method'!$B$3</c:f>
              <c:strCache>
                <c:ptCount val="1"/>
                <c:pt idx="0">
                  <c:v>Total</c:v>
                </c:pt>
              </c:strCache>
            </c:strRef>
          </c:tx>
          <c:spPr>
            <a:solidFill>
              <a:schemeClr val="accent6"/>
            </a:solidFill>
            <a:ln>
              <a:noFill/>
            </a:ln>
            <a:effectLst/>
          </c:spPr>
          <c:invertIfNegative val="0"/>
          <c:cat>
            <c:strRef>
              <c:f>'Revenue by Payment Method'!$A$4:$A$9</c:f>
              <c:strCache>
                <c:ptCount val="5"/>
                <c:pt idx="0">
                  <c:v>Cash</c:v>
                </c:pt>
                <c:pt idx="1">
                  <c:v>Credit Card</c:v>
                </c:pt>
                <c:pt idx="2">
                  <c:v>Debit Card</c:v>
                </c:pt>
                <c:pt idx="3">
                  <c:v>Gift Card</c:v>
                </c:pt>
                <c:pt idx="4">
                  <c:v>Online</c:v>
                </c:pt>
              </c:strCache>
            </c:strRef>
          </c:cat>
          <c:val>
            <c:numRef>
              <c:f>'Revenue by Payment Method'!$B$4:$B$9</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1BD3-4B5E-83D4-84CEDB89692B}"/>
            </c:ext>
          </c:extLst>
        </c:ser>
        <c:dLbls>
          <c:showLegendKey val="0"/>
          <c:showVal val="0"/>
          <c:showCatName val="0"/>
          <c:showSerName val="0"/>
          <c:showPercent val="0"/>
          <c:showBubbleSize val="0"/>
        </c:dLbls>
        <c:gapWidth val="219"/>
        <c:overlap val="-27"/>
        <c:axId val="559603856"/>
        <c:axId val="559604576"/>
      </c:barChart>
      <c:catAx>
        <c:axId val="55960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9604576"/>
        <c:crosses val="autoZero"/>
        <c:auto val="1"/>
        <c:lblAlgn val="ctr"/>
        <c:lblOffset val="100"/>
        <c:noMultiLvlLbl val="0"/>
      </c:catAx>
      <c:valAx>
        <c:axId val="55960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960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Dashboard.xlsx]Order Status Distribution!PivotTable5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2000" b="1">
                <a:solidFill>
                  <a:sysClr val="windowText" lastClr="000000"/>
                </a:solidFill>
                <a:effectLst/>
              </a:rPr>
              <a:t>ORDER STATUS DISTRIBUTION</a:t>
            </a:r>
            <a:endParaRPr lang="en-NG" sz="2000" b="1">
              <a:solidFill>
                <a:sysClr val="windowText" lastClr="000000"/>
              </a:solidFill>
              <a:effectLst/>
            </a:endParaRPr>
          </a:p>
        </c:rich>
      </c:tx>
      <c:layout>
        <c:manualLayout>
          <c:xMode val="edge"/>
          <c:yMode val="edge"/>
          <c:x val="0.23607046234605289"/>
          <c:y val="2.67570720326625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Status Distribution'!$B$3</c:f>
              <c:strCache>
                <c:ptCount val="1"/>
                <c:pt idx="0">
                  <c:v>Total</c:v>
                </c:pt>
              </c:strCache>
            </c:strRef>
          </c:tx>
          <c:spPr>
            <a:solidFill>
              <a:schemeClr val="accent2"/>
            </a:solidFill>
            <a:ln>
              <a:noFill/>
            </a:ln>
            <a:effectLst/>
          </c:spPr>
          <c:invertIfNegative val="0"/>
          <c:cat>
            <c:strRef>
              <c:f>'Order Status Distribution'!$A$4:$A$9</c:f>
              <c:strCache>
                <c:ptCount val="5"/>
                <c:pt idx="0">
                  <c:v>Cancelled</c:v>
                </c:pt>
                <c:pt idx="1">
                  <c:v>Delivered</c:v>
                </c:pt>
                <c:pt idx="2">
                  <c:v>Pending</c:v>
                </c:pt>
                <c:pt idx="3">
                  <c:v>Returned</c:v>
                </c:pt>
                <c:pt idx="4">
                  <c:v>Shipped</c:v>
                </c:pt>
              </c:strCache>
            </c:strRef>
          </c:cat>
          <c:val>
            <c:numRef>
              <c:f>'Order Status Distribution'!$B$4:$B$9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4C20-4197-B411-CA7B466577EA}"/>
            </c:ext>
          </c:extLst>
        </c:ser>
        <c:dLbls>
          <c:showLegendKey val="0"/>
          <c:showVal val="0"/>
          <c:showCatName val="0"/>
          <c:showSerName val="0"/>
          <c:showPercent val="0"/>
          <c:showBubbleSize val="0"/>
        </c:dLbls>
        <c:gapWidth val="219"/>
        <c:axId val="983630904"/>
        <c:axId val="983633784"/>
      </c:barChart>
      <c:catAx>
        <c:axId val="983630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633784"/>
        <c:crosses val="autoZero"/>
        <c:auto val="1"/>
        <c:lblAlgn val="ctr"/>
        <c:lblOffset val="100"/>
        <c:noMultiLvlLbl val="0"/>
      </c:catAx>
      <c:valAx>
        <c:axId val="983633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630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Dashboard.xlsx]Avg Order Value by Paymt Mthd!PivotTable7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i="0" u="none" strike="noStrike" baseline="0">
                <a:solidFill>
                  <a:sysClr val="windowText" lastClr="000000"/>
                </a:solidFill>
                <a:effectLst/>
              </a:rPr>
              <a:t>AVERAGE ORDER VALUE BY PAYMENT METHOD</a:t>
            </a:r>
            <a:endParaRPr lang="en-US" sz="2000" b="1">
              <a:solidFill>
                <a:sysClr val="windowText" lastClr="000000"/>
              </a:solidFill>
            </a:endParaRPr>
          </a:p>
        </c:rich>
      </c:tx>
      <c:layout>
        <c:manualLayout>
          <c:xMode val="edge"/>
          <c:yMode val="edge"/>
          <c:x val="0.1793818897637795"/>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1656890208615E-2"/>
          <c:y val="0.12426329603536398"/>
          <c:w val="0.91670070946885795"/>
          <c:h val="0.79433927338030097"/>
        </c:manualLayout>
      </c:layout>
      <c:barChart>
        <c:barDir val="col"/>
        <c:grouping val="clustered"/>
        <c:varyColors val="0"/>
        <c:ser>
          <c:idx val="0"/>
          <c:order val="0"/>
          <c:tx>
            <c:strRef>
              <c:f>'Avg Order Value by Paymt Mthd'!$B$3</c:f>
              <c:strCache>
                <c:ptCount val="1"/>
                <c:pt idx="0">
                  <c:v>Total</c:v>
                </c:pt>
              </c:strCache>
            </c:strRef>
          </c:tx>
          <c:spPr>
            <a:solidFill>
              <a:schemeClr val="accent6"/>
            </a:solidFill>
            <a:ln>
              <a:noFill/>
            </a:ln>
            <a:effectLst/>
          </c:spPr>
          <c:invertIfNegative val="0"/>
          <c:cat>
            <c:strRef>
              <c:f>'Avg Order Value by Paymt Mthd'!$A$4:$A$9</c:f>
              <c:strCache>
                <c:ptCount val="5"/>
                <c:pt idx="0">
                  <c:v>Cash</c:v>
                </c:pt>
                <c:pt idx="1">
                  <c:v>Credit Card</c:v>
                </c:pt>
                <c:pt idx="2">
                  <c:v>Debit Card</c:v>
                </c:pt>
                <c:pt idx="3">
                  <c:v>Gift Card</c:v>
                </c:pt>
                <c:pt idx="4">
                  <c:v>Online</c:v>
                </c:pt>
              </c:strCache>
            </c:strRef>
          </c:cat>
          <c:val>
            <c:numRef>
              <c:f>'Avg Order Value by Paymt Mthd'!$B$4:$B$9</c:f>
              <c:numCache>
                <c:formatCode>General</c:formatCode>
                <c:ptCount val="5"/>
                <c:pt idx="0">
                  <c:v>1056.0418292682923</c:v>
                </c:pt>
                <c:pt idx="1">
                  <c:v>1127.5539743589738</c:v>
                </c:pt>
                <c:pt idx="2">
                  <c:v>1001.5568103448275</c:v>
                </c:pt>
                <c:pt idx="3">
                  <c:v>1070.9735652173918</c:v>
                </c:pt>
                <c:pt idx="4">
                  <c:v>1017.2206976744191</c:v>
                </c:pt>
              </c:numCache>
            </c:numRef>
          </c:val>
          <c:extLst>
            <c:ext xmlns:c16="http://schemas.microsoft.com/office/drawing/2014/chart" uri="{C3380CC4-5D6E-409C-BE32-E72D297353CC}">
              <c16:uniqueId val="{00000000-B77C-4AA3-A5E6-7032DCB23159}"/>
            </c:ext>
          </c:extLst>
        </c:ser>
        <c:dLbls>
          <c:showLegendKey val="0"/>
          <c:showVal val="0"/>
          <c:showCatName val="0"/>
          <c:showSerName val="0"/>
          <c:showPercent val="0"/>
          <c:showBubbleSize val="0"/>
        </c:dLbls>
        <c:gapWidth val="219"/>
        <c:overlap val="-27"/>
        <c:axId val="565417608"/>
        <c:axId val="565413288"/>
      </c:barChart>
      <c:catAx>
        <c:axId val="565417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413288"/>
        <c:crosses val="autoZero"/>
        <c:auto val="1"/>
        <c:lblAlgn val="ctr"/>
        <c:lblOffset val="100"/>
        <c:noMultiLvlLbl val="0"/>
      </c:catAx>
      <c:valAx>
        <c:axId val="565413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417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Dashboard.xlsx]Top 5 Best-Selling Product!PivotTable8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i="0" u="none" strike="noStrike" baseline="0">
                <a:solidFill>
                  <a:sysClr val="windowText" lastClr="000000"/>
                </a:solidFill>
                <a:effectLst/>
              </a:rPr>
              <a:t>TOP 5 BEST-SELLING PRODUCTS</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Best-Selling Product'!$B$3</c:f>
              <c:strCache>
                <c:ptCount val="1"/>
                <c:pt idx="0">
                  <c:v>Total</c:v>
                </c:pt>
              </c:strCache>
            </c:strRef>
          </c:tx>
          <c:spPr>
            <a:solidFill>
              <a:schemeClr val="accent2"/>
            </a:solidFill>
            <a:ln>
              <a:noFill/>
            </a:ln>
            <a:effectLst/>
          </c:spPr>
          <c:invertIfNegative val="0"/>
          <c:cat>
            <c:strRef>
              <c:f>'Top 5 Best-Selling Product'!$A$4:$A$9</c:f>
              <c:strCache>
                <c:ptCount val="5"/>
                <c:pt idx="0">
                  <c:v>Chair</c:v>
                </c:pt>
                <c:pt idx="1">
                  <c:v>Desk</c:v>
                </c:pt>
                <c:pt idx="2">
                  <c:v>Laptop</c:v>
                </c:pt>
                <c:pt idx="3">
                  <c:v>Printer</c:v>
                </c:pt>
                <c:pt idx="4">
                  <c:v>Tablet</c:v>
                </c:pt>
              </c:strCache>
            </c:strRef>
          </c:cat>
          <c:val>
            <c:numRef>
              <c:f>'Top 5 Best-Selling Product'!$B$4:$B$9</c:f>
              <c:numCache>
                <c:formatCode>General</c:formatCode>
                <c:ptCount val="5"/>
                <c:pt idx="0">
                  <c:v>562</c:v>
                </c:pt>
                <c:pt idx="1">
                  <c:v>508</c:v>
                </c:pt>
                <c:pt idx="2">
                  <c:v>535</c:v>
                </c:pt>
                <c:pt idx="3">
                  <c:v>542</c:v>
                </c:pt>
                <c:pt idx="4">
                  <c:v>497</c:v>
                </c:pt>
              </c:numCache>
            </c:numRef>
          </c:val>
          <c:extLst>
            <c:ext xmlns:c16="http://schemas.microsoft.com/office/drawing/2014/chart" uri="{C3380CC4-5D6E-409C-BE32-E72D297353CC}">
              <c16:uniqueId val="{00000000-7BB5-4472-8E85-6166FFE1101D}"/>
            </c:ext>
          </c:extLst>
        </c:ser>
        <c:dLbls>
          <c:showLegendKey val="0"/>
          <c:showVal val="0"/>
          <c:showCatName val="0"/>
          <c:showSerName val="0"/>
          <c:showPercent val="0"/>
          <c:showBubbleSize val="0"/>
        </c:dLbls>
        <c:gapWidth val="219"/>
        <c:overlap val="-27"/>
        <c:axId val="565416888"/>
        <c:axId val="565412568"/>
      </c:barChart>
      <c:catAx>
        <c:axId val="56541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412568"/>
        <c:crosses val="autoZero"/>
        <c:auto val="1"/>
        <c:lblAlgn val="ctr"/>
        <c:lblOffset val="100"/>
        <c:noMultiLvlLbl val="0"/>
      </c:catAx>
      <c:valAx>
        <c:axId val="565412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416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Dashboard.xlsx]Revenue by Referral Source!PivotTable9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REVENUE BY REFERRAL SOURCE</a:t>
            </a:r>
          </a:p>
        </c:rich>
      </c:tx>
      <c:layout>
        <c:manualLayout>
          <c:xMode val="edge"/>
          <c:yMode val="edge"/>
          <c:x val="0.26889786212620853"/>
          <c:y val="2.5490275191988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Referral Source'!$B$3</c:f>
              <c:strCache>
                <c:ptCount val="1"/>
                <c:pt idx="0">
                  <c:v>Total</c:v>
                </c:pt>
              </c:strCache>
            </c:strRef>
          </c:tx>
          <c:spPr>
            <a:solidFill>
              <a:schemeClr val="accent2"/>
            </a:solidFill>
            <a:ln>
              <a:noFill/>
            </a:ln>
            <a:effectLst/>
          </c:spPr>
          <c:invertIfNegative val="0"/>
          <c:cat>
            <c:strRef>
              <c:f>'Revenue by Referral Source'!$A$4:$A$9</c:f>
              <c:strCache>
                <c:ptCount val="5"/>
                <c:pt idx="0">
                  <c:v>Email</c:v>
                </c:pt>
                <c:pt idx="1">
                  <c:v>Facebook</c:v>
                </c:pt>
                <c:pt idx="2">
                  <c:v>Google</c:v>
                </c:pt>
                <c:pt idx="3">
                  <c:v>Instagram</c:v>
                </c:pt>
                <c:pt idx="4">
                  <c:v>Referral</c:v>
                </c:pt>
              </c:strCache>
            </c:strRef>
          </c:cat>
          <c:val>
            <c:numRef>
              <c:f>'Revenue by Referral Source'!$B$4:$B$9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44B8-410B-AA58-500E79E2F0D5}"/>
            </c:ext>
          </c:extLst>
        </c:ser>
        <c:dLbls>
          <c:showLegendKey val="0"/>
          <c:showVal val="0"/>
          <c:showCatName val="0"/>
          <c:showSerName val="0"/>
          <c:showPercent val="0"/>
          <c:showBubbleSize val="0"/>
        </c:dLbls>
        <c:gapWidth val="219"/>
        <c:axId val="565580672"/>
        <c:axId val="565581392"/>
      </c:barChart>
      <c:catAx>
        <c:axId val="56558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581392"/>
        <c:crosses val="autoZero"/>
        <c:auto val="1"/>
        <c:lblAlgn val="ctr"/>
        <c:lblOffset val="100"/>
        <c:noMultiLvlLbl val="0"/>
      </c:catAx>
      <c:valAx>
        <c:axId val="56558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558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Dashboard.xlsx]Coupon Performance!PivotTable10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a:solidFill>
                  <a:sysClr val="windowText" lastClr="000000"/>
                </a:solidFill>
              </a:rPr>
              <a:t>COUPON</a:t>
            </a:r>
            <a:r>
              <a:rPr lang="en-GB" sz="2000" b="1" baseline="0">
                <a:solidFill>
                  <a:sysClr val="windowText" lastClr="000000"/>
                </a:solidFill>
              </a:rPr>
              <a:t> PERFORMANCE BY ORDERS</a:t>
            </a:r>
            <a:endParaRPr lang="en-NG"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Performance'!$B$3</c:f>
              <c:strCache>
                <c:ptCount val="1"/>
                <c:pt idx="0">
                  <c:v>Total</c:v>
                </c:pt>
              </c:strCache>
            </c:strRef>
          </c:tx>
          <c:spPr>
            <a:solidFill>
              <a:schemeClr val="accent2"/>
            </a:solidFill>
            <a:ln>
              <a:noFill/>
            </a:ln>
            <a:effectLst/>
          </c:spPr>
          <c:invertIfNegative val="0"/>
          <c:cat>
            <c:strRef>
              <c:f>'Coupon Performance'!$A$4:$A$8</c:f>
              <c:strCache>
                <c:ptCount val="4"/>
                <c:pt idx="0">
                  <c:v>FREESHIP</c:v>
                </c:pt>
                <c:pt idx="1">
                  <c:v>NIL</c:v>
                </c:pt>
                <c:pt idx="2">
                  <c:v>SAVE10</c:v>
                </c:pt>
                <c:pt idx="3">
                  <c:v>WINTER15</c:v>
                </c:pt>
              </c:strCache>
            </c:strRef>
          </c:cat>
          <c:val>
            <c:numRef>
              <c:f>'Coupon Performance'!$B$4:$B$8</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3B2A-4F2C-BA59-ED070D57F9FB}"/>
            </c:ext>
          </c:extLst>
        </c:ser>
        <c:dLbls>
          <c:showLegendKey val="0"/>
          <c:showVal val="0"/>
          <c:showCatName val="0"/>
          <c:showSerName val="0"/>
          <c:showPercent val="0"/>
          <c:showBubbleSize val="0"/>
        </c:dLbls>
        <c:gapWidth val="219"/>
        <c:axId val="564951176"/>
        <c:axId val="564949736"/>
      </c:barChart>
      <c:catAx>
        <c:axId val="56495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4949736"/>
        <c:crosses val="autoZero"/>
        <c:auto val="1"/>
        <c:lblAlgn val="ctr"/>
        <c:lblOffset val="100"/>
        <c:noMultiLvlLbl val="0"/>
      </c:catAx>
      <c:valAx>
        <c:axId val="564949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6495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COUPON PERFORMANCE</a:t>
            </a:r>
            <a:r>
              <a:rPr lang="en-US" sz="2000" b="1" baseline="0">
                <a:solidFill>
                  <a:sysClr val="windowText" lastClr="000000"/>
                </a:solidFill>
              </a:rPr>
              <a:t> BY REVENUE</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4"/>
              <c:pt idx="0">
                <c:v>FREESHIP</c:v>
              </c:pt>
              <c:pt idx="1">
                <c:v>NIL</c:v>
              </c:pt>
              <c:pt idx="2">
                <c:v>SAVE10</c:v>
              </c:pt>
              <c:pt idx="3">
                <c:v>WINTER15</c:v>
              </c:pt>
            </c:strLit>
          </c:cat>
          <c:val>
            <c:numLit>
              <c:formatCode>General</c:formatCode>
              <c:ptCount val="4"/>
              <c:pt idx="0">
                <c:v>335036.99000000028</c:v>
              </c:pt>
              <c:pt idx="1">
                <c:v>322401.40999999992</c:v>
              </c:pt>
              <c:pt idx="2">
                <c:v>304840.02</c:v>
              </c:pt>
              <c:pt idx="3">
                <c:v>302483.54000000021</c:v>
              </c:pt>
            </c:numLit>
          </c:val>
          <c:extLst>
            <c:ext xmlns:c16="http://schemas.microsoft.com/office/drawing/2014/chart" uri="{C3380CC4-5D6E-409C-BE32-E72D297353CC}">
              <c16:uniqueId val="{00000000-81F0-43AC-ABC3-160747BB5B11}"/>
            </c:ext>
          </c:extLst>
        </c:ser>
        <c:dLbls>
          <c:showLegendKey val="0"/>
          <c:showVal val="0"/>
          <c:showCatName val="0"/>
          <c:showSerName val="0"/>
          <c:showPercent val="0"/>
          <c:showBubbleSize val="0"/>
        </c:dLbls>
        <c:gapWidth val="219"/>
        <c:overlap val="-27"/>
        <c:axId val="1151837680"/>
        <c:axId val="1151835520"/>
      </c:barChart>
      <c:catAx>
        <c:axId val="11518376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51835520"/>
        <c:crosses val="autoZero"/>
        <c:auto val="1"/>
        <c:lblAlgn val="ctr"/>
        <c:lblOffset val="100"/>
        <c:noMultiLvlLbl val="0"/>
        <c:extLst>
          <c:ext xmlns:c15="http://schemas.microsoft.com/office/drawing/2012/chart" uri="{F40574EE-89B7-4290-83BB-5DA773EAF853}">
            <c15:numFmt c:formatCode="General" c:sourceLinked="1"/>
          </c:ext>
        </c:extLst>
      </c:catAx>
      <c:valAx>
        <c:axId val="115183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5183768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5="http://schemas.microsoft.com/office/drawing/2012/chart" uri="{723BEF56-08C2-4564-9609-F4CBC75E7E54}">
      <c15:pivotSource>
        <c15:name>[Ecommerce Dashboard.xlsx]PivotChartTable4</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Dashboard.xlsx]Top Customers!PivotTable12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TOP 10 CUSTOMERS BY REVENUE</a:t>
            </a:r>
          </a:p>
        </c:rich>
      </c:tx>
      <c:layout>
        <c:manualLayout>
          <c:xMode val="edge"/>
          <c:yMode val="edge"/>
          <c:x val="0.25788095687883733"/>
          <c:y val="2.788879077512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Customers'!$B$3</c:f>
              <c:strCache>
                <c:ptCount val="1"/>
                <c:pt idx="0">
                  <c:v>Total</c:v>
                </c:pt>
              </c:strCache>
            </c:strRef>
          </c:tx>
          <c:spPr>
            <a:solidFill>
              <a:schemeClr val="accent6"/>
            </a:solidFill>
            <a:ln>
              <a:noFill/>
            </a:ln>
            <a:effectLst/>
          </c:spPr>
          <c:invertIfNegative val="0"/>
          <c:cat>
            <c:strRef>
              <c:f>'Top Customers'!$A$4:$A$14</c:f>
              <c:strCache>
                <c:ptCount val="10"/>
                <c:pt idx="0">
                  <c:v>C13877</c:v>
                </c:pt>
                <c:pt idx="1">
                  <c:v>C16775</c:v>
                </c:pt>
                <c:pt idx="2">
                  <c:v>C18404</c:v>
                </c:pt>
                <c:pt idx="3">
                  <c:v>C25276</c:v>
                </c:pt>
                <c:pt idx="4">
                  <c:v>C38840</c:v>
                </c:pt>
                <c:pt idx="5">
                  <c:v>C47778</c:v>
                </c:pt>
                <c:pt idx="6">
                  <c:v>C57276</c:v>
                </c:pt>
                <c:pt idx="7">
                  <c:v>C59183</c:v>
                </c:pt>
                <c:pt idx="8">
                  <c:v>C65986</c:v>
                </c:pt>
                <c:pt idx="9">
                  <c:v>C67260</c:v>
                </c:pt>
              </c:strCache>
            </c:strRef>
          </c:cat>
          <c:val>
            <c:numRef>
              <c:f>'Top Customers'!$B$4:$B$14</c:f>
              <c:numCache>
                <c:formatCode>General</c:formatCode>
                <c:ptCount val="10"/>
                <c:pt idx="0">
                  <c:v>3384.9</c:v>
                </c:pt>
                <c:pt idx="1">
                  <c:v>3353.75</c:v>
                </c:pt>
                <c:pt idx="2">
                  <c:v>3370.2</c:v>
                </c:pt>
                <c:pt idx="3">
                  <c:v>3313.9</c:v>
                </c:pt>
                <c:pt idx="4">
                  <c:v>5723.23</c:v>
                </c:pt>
                <c:pt idx="5">
                  <c:v>3334</c:v>
                </c:pt>
                <c:pt idx="6">
                  <c:v>3456.4</c:v>
                </c:pt>
                <c:pt idx="7">
                  <c:v>3322.55</c:v>
                </c:pt>
                <c:pt idx="8">
                  <c:v>3352.4</c:v>
                </c:pt>
                <c:pt idx="9">
                  <c:v>3390.8</c:v>
                </c:pt>
              </c:numCache>
            </c:numRef>
          </c:val>
          <c:extLst>
            <c:ext xmlns:c16="http://schemas.microsoft.com/office/drawing/2014/chart" uri="{C3380CC4-5D6E-409C-BE32-E72D297353CC}">
              <c16:uniqueId val="{00000000-28DD-4924-9B7F-FF25221BE10D}"/>
            </c:ext>
          </c:extLst>
        </c:ser>
        <c:dLbls>
          <c:showLegendKey val="0"/>
          <c:showVal val="0"/>
          <c:showCatName val="0"/>
          <c:showSerName val="0"/>
          <c:showPercent val="0"/>
          <c:showBubbleSize val="0"/>
        </c:dLbls>
        <c:gapWidth val="219"/>
        <c:overlap val="-27"/>
        <c:axId val="976101128"/>
        <c:axId val="976101848"/>
      </c:barChart>
      <c:catAx>
        <c:axId val="97610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6101848"/>
        <c:crosses val="autoZero"/>
        <c:auto val="1"/>
        <c:lblAlgn val="ctr"/>
        <c:lblOffset val="100"/>
        <c:noMultiLvlLbl val="0"/>
      </c:catAx>
      <c:valAx>
        <c:axId val="976101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610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n-GB" sz="2000" b="1">
                <a:solidFill>
                  <a:sysClr val="windowText" lastClr="000000"/>
                </a:solidFill>
                <a:effectLst/>
              </a:rPr>
              <a:t>TOP 10 CUSTOMERS BY AVERAGE SPEND</a:t>
            </a:r>
            <a:endParaRPr lang="en-NG" sz="2000" b="1">
              <a:solidFill>
                <a:sysClr val="windowText" lastClr="000000"/>
              </a:solidFill>
              <a:effectLst/>
            </a:endParaRPr>
          </a:p>
        </c:rich>
      </c:tx>
      <c:layout>
        <c:manualLayout>
          <c:xMode val="edge"/>
          <c:yMode val="edge"/>
          <c:x val="0.15843044619422572"/>
          <c:y val="1.38888888888888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cat>
            <c:strLit>
              <c:ptCount val="10"/>
              <c:pt idx="0">
                <c:v>C13877</c:v>
              </c:pt>
              <c:pt idx="1">
                <c:v>C16775</c:v>
              </c:pt>
              <c:pt idx="2">
                <c:v>C18404</c:v>
              </c:pt>
              <c:pt idx="3">
                <c:v>C25276</c:v>
              </c:pt>
              <c:pt idx="4">
                <c:v>C47778</c:v>
              </c:pt>
              <c:pt idx="5">
                <c:v>C53464</c:v>
              </c:pt>
              <c:pt idx="6">
                <c:v>C57276</c:v>
              </c:pt>
              <c:pt idx="7">
                <c:v>C59183</c:v>
              </c:pt>
              <c:pt idx="8">
                <c:v>C65986</c:v>
              </c:pt>
              <c:pt idx="9">
                <c:v>C67260</c:v>
              </c:pt>
            </c:strLit>
          </c:cat>
          <c:val>
            <c:numLit>
              <c:formatCode>General</c:formatCode>
              <c:ptCount val="10"/>
              <c:pt idx="0">
                <c:v>3384.9</c:v>
              </c:pt>
              <c:pt idx="1">
                <c:v>3353.75</c:v>
              </c:pt>
              <c:pt idx="2">
                <c:v>3370.2</c:v>
              </c:pt>
              <c:pt idx="3">
                <c:v>3313.9</c:v>
              </c:pt>
              <c:pt idx="4">
                <c:v>3334</c:v>
              </c:pt>
              <c:pt idx="5">
                <c:v>3299.25</c:v>
              </c:pt>
              <c:pt idx="6">
                <c:v>3456.4</c:v>
              </c:pt>
              <c:pt idx="7">
                <c:v>3322.55</c:v>
              </c:pt>
              <c:pt idx="8">
                <c:v>3352.4</c:v>
              </c:pt>
              <c:pt idx="9">
                <c:v>3390.8</c:v>
              </c:pt>
            </c:numLit>
          </c:val>
          <c:extLst>
            <c:ext xmlns:c16="http://schemas.microsoft.com/office/drawing/2014/chart" uri="{C3380CC4-5D6E-409C-BE32-E72D297353CC}">
              <c16:uniqueId val="{00000000-051E-4CDB-9B5D-C399C00EA1C6}"/>
            </c:ext>
          </c:extLst>
        </c:ser>
        <c:dLbls>
          <c:showLegendKey val="0"/>
          <c:showVal val="0"/>
          <c:showCatName val="0"/>
          <c:showSerName val="0"/>
          <c:showPercent val="0"/>
          <c:showBubbleSize val="0"/>
        </c:dLbls>
        <c:gapWidth val="219"/>
        <c:overlap val="-27"/>
        <c:axId val="976106168"/>
        <c:axId val="976098608"/>
      </c:barChart>
      <c:catAx>
        <c:axId val="97610616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6098608"/>
        <c:crosses val="autoZero"/>
        <c:auto val="1"/>
        <c:lblAlgn val="ctr"/>
        <c:lblOffset val="100"/>
        <c:noMultiLvlLbl val="0"/>
        <c:extLst>
          <c:ext xmlns:c15="http://schemas.microsoft.com/office/drawing/2012/chart" uri="{F40574EE-89B7-4290-83BB-5DA773EAF853}">
            <c15:numFmt c:formatCode="General" c:sourceLinked="1"/>
          </c:ext>
        </c:extLst>
      </c:catAx>
      <c:valAx>
        <c:axId val="97609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610616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5="http://schemas.microsoft.com/office/drawing/2012/chart" uri="{723BEF56-08C2-4564-9609-F4CBC75E7E54}">
      <c15:pivotSource>
        <c15:name>[Ecommerce Dashboard.xlsx]PivotChartTable7</c15:name>
        <c15:fmtId val="4"/>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ysClr val="windowText" lastClr="000000"/>
                </a:solidFill>
              </a:rPr>
              <a:t>ORDERS BY REFERRAL SOURCE</a:t>
            </a:r>
            <a:endParaRPr lang="en-NG" sz="2000" b="1">
              <a:solidFill>
                <a:sysClr val="windowText" lastClr="000000"/>
              </a:solidFill>
            </a:endParaRPr>
          </a:p>
        </c:rich>
      </c:tx>
      <c:layout>
        <c:manualLayout>
          <c:xMode val="edge"/>
          <c:yMode val="edge"/>
          <c:x val="0.26399433420160812"/>
          <c:y val="2.34116963127895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cat>
            <c:strLit>
              <c:ptCount val="5"/>
              <c:pt idx="0">
                <c:v>Email</c:v>
              </c:pt>
              <c:pt idx="1">
                <c:v>Facebook</c:v>
              </c:pt>
              <c:pt idx="2">
                <c:v>Google</c:v>
              </c:pt>
              <c:pt idx="3">
                <c:v>Instagram</c:v>
              </c:pt>
              <c:pt idx="4">
                <c:v>Referral</c:v>
              </c:pt>
            </c:strLit>
          </c:cat>
          <c:val>
            <c:numLit>
              <c:formatCode>General</c:formatCode>
              <c:ptCount val="5"/>
              <c:pt idx="0">
                <c:v>250</c:v>
              </c:pt>
              <c:pt idx="1">
                <c:v>228</c:v>
              </c:pt>
              <c:pt idx="2">
                <c:v>241</c:v>
              </c:pt>
              <c:pt idx="3">
                <c:v>259</c:v>
              </c:pt>
              <c:pt idx="4">
                <c:v>222</c:v>
              </c:pt>
            </c:numLit>
          </c:val>
          <c:extLst>
            <c:ext xmlns:c16="http://schemas.microsoft.com/office/drawing/2014/chart" uri="{C3380CC4-5D6E-409C-BE32-E72D297353CC}">
              <c16:uniqueId val="{00000000-4D34-4A53-8CC6-C588F528DF17}"/>
            </c:ext>
          </c:extLst>
        </c:ser>
        <c:dLbls>
          <c:showLegendKey val="0"/>
          <c:showVal val="0"/>
          <c:showCatName val="0"/>
          <c:showSerName val="0"/>
          <c:showPercent val="0"/>
          <c:showBubbleSize val="0"/>
        </c:dLbls>
        <c:gapWidth val="219"/>
        <c:overlap val="-27"/>
        <c:axId val="983606672"/>
        <c:axId val="983607392"/>
      </c:barChart>
      <c:catAx>
        <c:axId val="9836066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607392"/>
        <c:crosses val="autoZero"/>
        <c:auto val="1"/>
        <c:lblAlgn val="ctr"/>
        <c:lblOffset val="100"/>
        <c:noMultiLvlLbl val="0"/>
        <c:extLst>
          <c:ext xmlns:c15="http://schemas.microsoft.com/office/drawing/2012/chart" uri="{F40574EE-89B7-4290-83BB-5DA773EAF853}">
            <c15:numFmt c:formatCode="General" c:sourceLinked="1"/>
          </c:ext>
        </c:extLst>
      </c:catAx>
      <c:valAx>
        <c:axId val="98360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60667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5="http://schemas.microsoft.com/office/drawing/2012/chart" uri="{723BEF56-08C2-4564-9609-F4CBC75E7E54}">
      <c15:pivotSource>
        <c15:name>[Ecommerce Dashboard.xlsx]PivotChartTable9</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333375</xdr:colOff>
      <xdr:row>4</xdr:row>
      <xdr:rowOff>33337</xdr:rowOff>
    </xdr:from>
    <xdr:to>
      <xdr:col>14</xdr:col>
      <xdr:colOff>28575</xdr:colOff>
      <xdr:row>18</xdr:row>
      <xdr:rowOff>109537</xdr:rowOff>
    </xdr:to>
    <xdr:graphicFrame macro="">
      <xdr:nvGraphicFramePr>
        <xdr:cNvPr id="2" name="Chart 1">
          <a:extLst>
            <a:ext uri="{FF2B5EF4-FFF2-40B4-BE49-F238E27FC236}">
              <a16:creationId xmlns:a16="http://schemas.microsoft.com/office/drawing/2014/main" id="{151DEBE4-751C-8175-85A1-012CD090F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323850</xdr:colOff>
      <xdr:row>3</xdr:row>
      <xdr:rowOff>176212</xdr:rowOff>
    </xdr:from>
    <xdr:to>
      <xdr:col>12</xdr:col>
      <xdr:colOff>19050</xdr:colOff>
      <xdr:row>18</xdr:row>
      <xdr:rowOff>61912</xdr:rowOff>
    </xdr:to>
    <xdr:graphicFrame macro="">
      <xdr:nvGraphicFramePr>
        <xdr:cNvPr id="2" name="Chart 1">
          <a:extLst>
            <a:ext uri="{FF2B5EF4-FFF2-40B4-BE49-F238E27FC236}">
              <a16:creationId xmlns:a16="http://schemas.microsoft.com/office/drawing/2014/main" id="{D8C3419A-9FB7-F7F8-AE4E-766889EB7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5</xdr:row>
      <xdr:rowOff>19050</xdr:rowOff>
    </xdr:from>
    <xdr:to>
      <xdr:col>8</xdr:col>
      <xdr:colOff>590550</xdr:colOff>
      <xdr:row>11</xdr:row>
      <xdr:rowOff>190499</xdr:rowOff>
    </xdr:to>
    <xdr:sp macro="" textlink="A5">
      <xdr:nvSpPr>
        <xdr:cNvPr id="2" name="Rectangle: Rounded Corners 1">
          <a:extLst>
            <a:ext uri="{FF2B5EF4-FFF2-40B4-BE49-F238E27FC236}">
              <a16:creationId xmlns:a16="http://schemas.microsoft.com/office/drawing/2014/main" id="{8108B860-E55C-43B4-A18C-0BA1DCBFB944}"/>
            </a:ext>
          </a:extLst>
        </xdr:cNvPr>
        <xdr:cNvSpPr/>
      </xdr:nvSpPr>
      <xdr:spPr>
        <a:xfrm>
          <a:off x="1593396" y="971550"/>
          <a:ext cx="3106511" cy="1314449"/>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F585E7D-4D0E-49A5-9D09-A1D2A75F960D}" type="TxLink">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 $1,264,761.96 </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TOTAL</a:t>
          </a:r>
          <a:r>
            <a:rPr lang="en-US" sz="2400" b="1" i="0" u="none" strike="noStrike" baseline="0">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REVENUE</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10</xdr:col>
      <xdr:colOff>28574</xdr:colOff>
      <xdr:row>5</xdr:row>
      <xdr:rowOff>9525</xdr:rowOff>
    </xdr:from>
    <xdr:to>
      <xdr:col>14</xdr:col>
      <xdr:colOff>609599</xdr:colOff>
      <xdr:row>12</xdr:row>
      <xdr:rowOff>13606</xdr:rowOff>
    </xdr:to>
    <xdr:sp macro="" textlink="D5">
      <xdr:nvSpPr>
        <xdr:cNvPr id="3" name="Rectangle: Rounded Corners 2">
          <a:extLst>
            <a:ext uri="{FF2B5EF4-FFF2-40B4-BE49-F238E27FC236}">
              <a16:creationId xmlns:a16="http://schemas.microsoft.com/office/drawing/2014/main" id="{BCCC4A16-0E90-4041-DB2E-05441372960B}"/>
            </a:ext>
          </a:extLst>
        </xdr:cNvPr>
        <xdr:cNvSpPr/>
      </xdr:nvSpPr>
      <xdr:spPr>
        <a:xfrm>
          <a:off x="5362574" y="962025"/>
          <a:ext cx="3030311" cy="1337581"/>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DC6F3085-3A78-4BA2-94E7-DCFC4C9BE88F}" type="TxLink">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1200</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TOTAL</a:t>
          </a:r>
          <a:r>
            <a:rPr lang="en-US" sz="2400" b="1" i="0" u="none" strike="noStrike" baseline="0">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ORDERS</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16</xdr:col>
      <xdr:colOff>19049</xdr:colOff>
      <xdr:row>5</xdr:row>
      <xdr:rowOff>1</xdr:rowOff>
    </xdr:from>
    <xdr:to>
      <xdr:col>20</xdr:col>
      <xdr:colOff>600074</xdr:colOff>
      <xdr:row>12</xdr:row>
      <xdr:rowOff>13607</xdr:rowOff>
    </xdr:to>
    <xdr:sp macro="" textlink="E5">
      <xdr:nvSpPr>
        <xdr:cNvPr id="4" name="Rectangle: Rounded Corners 3">
          <a:extLst>
            <a:ext uri="{FF2B5EF4-FFF2-40B4-BE49-F238E27FC236}">
              <a16:creationId xmlns:a16="http://schemas.microsoft.com/office/drawing/2014/main" id="{B59E5915-6A47-2929-873B-C0EAFBC67A6C}"/>
            </a:ext>
          </a:extLst>
        </xdr:cNvPr>
        <xdr:cNvSpPr/>
      </xdr:nvSpPr>
      <xdr:spPr>
        <a:xfrm>
          <a:off x="9026978" y="952501"/>
          <a:ext cx="3030310" cy="1347106"/>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C6D6381D-92F6-49B9-8AAC-C39B9404A269}" type="TxLink">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1189</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TOTAL CUSTOMERS</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34</xdr:col>
      <xdr:colOff>19050</xdr:colOff>
      <xdr:row>5</xdr:row>
      <xdr:rowOff>19051</xdr:rowOff>
    </xdr:from>
    <xdr:to>
      <xdr:col>38</xdr:col>
      <xdr:colOff>582706</xdr:colOff>
      <xdr:row>11</xdr:row>
      <xdr:rowOff>180975</xdr:rowOff>
    </xdr:to>
    <xdr:sp macro="" textlink="F5">
      <xdr:nvSpPr>
        <xdr:cNvPr id="5" name="Rectangle: Rounded Corners 4">
          <a:extLst>
            <a:ext uri="{FF2B5EF4-FFF2-40B4-BE49-F238E27FC236}">
              <a16:creationId xmlns:a16="http://schemas.microsoft.com/office/drawing/2014/main" id="{C27C6328-87E9-569B-0A1E-94EFCF4993CA}"/>
            </a:ext>
          </a:extLst>
        </xdr:cNvPr>
        <xdr:cNvSpPr/>
      </xdr:nvSpPr>
      <xdr:spPr>
        <a:xfrm>
          <a:off x="21254197" y="1285316"/>
          <a:ext cx="2984127" cy="1304924"/>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857EFB78-4DFC-409F-B92A-F2CEA7B9784B}" type="TxLink">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 $1,053.97 </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AVG</a:t>
          </a:r>
          <a:r>
            <a:rPr lang="en-US" sz="2400" b="1" i="0" u="none" strike="noStrike" baseline="0">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ORDER VALUE</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21</xdr:col>
      <xdr:colOff>614363</xdr:colOff>
      <xdr:row>5</xdr:row>
      <xdr:rowOff>0</xdr:rowOff>
    </xdr:from>
    <xdr:to>
      <xdr:col>26</xdr:col>
      <xdr:colOff>604838</xdr:colOff>
      <xdr:row>12</xdr:row>
      <xdr:rowOff>19050</xdr:rowOff>
    </xdr:to>
    <xdr:sp macro="" textlink="G5">
      <xdr:nvSpPr>
        <xdr:cNvPr id="6" name="Rectangle: Rounded Corners 5">
          <a:extLst>
            <a:ext uri="{FF2B5EF4-FFF2-40B4-BE49-F238E27FC236}">
              <a16:creationId xmlns:a16="http://schemas.microsoft.com/office/drawing/2014/main" id="{F55383D9-1254-9AB1-CABD-555AC7D403A3}"/>
            </a:ext>
          </a:extLst>
        </xdr:cNvPr>
        <xdr:cNvSpPr/>
      </xdr:nvSpPr>
      <xdr:spPr>
        <a:xfrm>
          <a:off x="12806363" y="952500"/>
          <a:ext cx="3086100" cy="13525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EE6BBFB3-E94E-49B8-9A44-13803F44CBE2}" type="TxLink">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19.2%</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ORDER</a:t>
          </a:r>
          <a:r>
            <a:rPr lang="en-US" sz="2400" b="1" i="0" u="none" strike="noStrike" baseline="0">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COMPLETION RATE</a:t>
          </a:r>
        </a:p>
        <a:p>
          <a:pPr algn="ctr"/>
          <a:endParaRPr lang="en-NG" sz="48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28</xdr:col>
      <xdr:colOff>52388</xdr:colOff>
      <xdr:row>5</xdr:row>
      <xdr:rowOff>0</xdr:rowOff>
    </xdr:from>
    <xdr:to>
      <xdr:col>33</xdr:col>
      <xdr:colOff>42863</xdr:colOff>
      <xdr:row>12</xdr:row>
      <xdr:rowOff>19050</xdr:rowOff>
    </xdr:to>
    <xdr:sp macro="" textlink="H5">
      <xdr:nvSpPr>
        <xdr:cNvPr id="7" name="Rectangle: Rounded Corners 6">
          <a:extLst>
            <a:ext uri="{FF2B5EF4-FFF2-40B4-BE49-F238E27FC236}">
              <a16:creationId xmlns:a16="http://schemas.microsoft.com/office/drawing/2014/main" id="{09D61EB7-9345-FFD8-691B-B7C6BDBA7DDD}"/>
            </a:ext>
          </a:extLst>
        </xdr:cNvPr>
        <xdr:cNvSpPr/>
      </xdr:nvSpPr>
      <xdr:spPr>
        <a:xfrm>
          <a:off x="16578263" y="952500"/>
          <a:ext cx="3086100" cy="13525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A8343B1A-1D23-42C3-A567-99D5FDF9CF2B}" type="TxLink">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5.49</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NG" sz="2400" b="1">
              <a:solidFill>
                <a:schemeClr val="lt1"/>
              </a:solidFill>
              <a:effectLst/>
              <a:latin typeface="+mn-lt"/>
              <a:ea typeface="+mn-ea"/>
              <a:cs typeface="+mn-cs"/>
            </a:rPr>
            <a:t>Average Cart Size</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4</xdr:col>
      <xdr:colOff>8845</xdr:colOff>
      <xdr:row>16</xdr:row>
      <xdr:rowOff>12925</xdr:rowOff>
    </xdr:from>
    <xdr:to>
      <xdr:col>14</xdr:col>
      <xdr:colOff>602116</xdr:colOff>
      <xdr:row>35</xdr:row>
      <xdr:rowOff>12926</xdr:rowOff>
    </xdr:to>
    <xdr:graphicFrame macro="">
      <xdr:nvGraphicFramePr>
        <xdr:cNvPr id="8" name="Chart 7">
          <a:extLst>
            <a:ext uri="{FF2B5EF4-FFF2-40B4-BE49-F238E27FC236}">
              <a16:creationId xmlns:a16="http://schemas.microsoft.com/office/drawing/2014/main" id="{2AC6F924-4BE3-45B1-A3D1-227F1BDF0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1359</xdr:colOff>
      <xdr:row>15</xdr:row>
      <xdr:rowOff>176893</xdr:rowOff>
    </xdr:from>
    <xdr:to>
      <xdr:col>26</xdr:col>
      <xdr:colOff>612320</xdr:colOff>
      <xdr:row>35</xdr:row>
      <xdr:rowOff>5443</xdr:rowOff>
    </xdr:to>
    <xdr:graphicFrame macro="">
      <xdr:nvGraphicFramePr>
        <xdr:cNvPr id="9" name="Chart 8">
          <a:extLst>
            <a:ext uri="{FF2B5EF4-FFF2-40B4-BE49-F238E27FC236}">
              <a16:creationId xmlns:a16="http://schemas.microsoft.com/office/drawing/2014/main" id="{CCBB6E14-C967-4BAB-A684-E8D6D05E9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13608</xdr:colOff>
      <xdr:row>16</xdr:row>
      <xdr:rowOff>13607</xdr:rowOff>
    </xdr:from>
    <xdr:to>
      <xdr:col>38</xdr:col>
      <xdr:colOff>560295</xdr:colOff>
      <xdr:row>35</xdr:row>
      <xdr:rowOff>13607</xdr:rowOff>
    </xdr:to>
    <xdr:graphicFrame macro="">
      <xdr:nvGraphicFramePr>
        <xdr:cNvPr id="10" name="Chart 9">
          <a:extLst>
            <a:ext uri="{FF2B5EF4-FFF2-40B4-BE49-F238E27FC236}">
              <a16:creationId xmlns:a16="http://schemas.microsoft.com/office/drawing/2014/main" id="{92471C64-8B51-42F9-A109-541091B3D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39</xdr:row>
      <xdr:rowOff>13608</xdr:rowOff>
    </xdr:from>
    <xdr:to>
      <xdr:col>15</xdr:col>
      <xdr:colOff>7202</xdr:colOff>
      <xdr:row>58</xdr:row>
      <xdr:rowOff>13607</xdr:rowOff>
    </xdr:to>
    <xdr:graphicFrame macro="">
      <xdr:nvGraphicFramePr>
        <xdr:cNvPr id="11" name="Chart 10">
          <a:extLst>
            <a:ext uri="{FF2B5EF4-FFF2-40B4-BE49-F238E27FC236}">
              <a16:creationId xmlns:a16="http://schemas.microsoft.com/office/drawing/2014/main" id="{C9158B9E-DDBF-401F-AE75-6759E8E33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13606</xdr:colOff>
      <xdr:row>39</xdr:row>
      <xdr:rowOff>13607</xdr:rowOff>
    </xdr:from>
    <xdr:to>
      <xdr:col>27</xdr:col>
      <xdr:colOff>1</xdr:colOff>
      <xdr:row>58</xdr:row>
      <xdr:rowOff>13607</xdr:rowOff>
    </xdr:to>
    <xdr:graphicFrame macro="">
      <xdr:nvGraphicFramePr>
        <xdr:cNvPr id="13" name="Chart 12">
          <a:extLst>
            <a:ext uri="{FF2B5EF4-FFF2-40B4-BE49-F238E27FC236}">
              <a16:creationId xmlns:a16="http://schemas.microsoft.com/office/drawing/2014/main" id="{2DEDCD31-DE4E-4BB7-A55A-BDAA5602C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13606</xdr:colOff>
      <xdr:row>38</xdr:row>
      <xdr:rowOff>176891</xdr:rowOff>
    </xdr:from>
    <xdr:to>
      <xdr:col>38</xdr:col>
      <xdr:colOff>560294</xdr:colOff>
      <xdr:row>57</xdr:row>
      <xdr:rowOff>122464</xdr:rowOff>
    </xdr:to>
    <xdr:graphicFrame macro="">
      <xdr:nvGraphicFramePr>
        <xdr:cNvPr id="14" name="Chart 13">
          <a:extLst>
            <a:ext uri="{FF2B5EF4-FFF2-40B4-BE49-F238E27FC236}">
              <a16:creationId xmlns:a16="http://schemas.microsoft.com/office/drawing/2014/main" id="{BD23EC57-F1AF-48AB-A567-F9215ABA9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23811</xdr:colOff>
      <xdr:row>5</xdr:row>
      <xdr:rowOff>9523</xdr:rowOff>
    </xdr:from>
    <xdr:to>
      <xdr:col>3</xdr:col>
      <xdr:colOff>561245</xdr:colOff>
      <xdr:row>15</xdr:row>
      <xdr:rowOff>179294</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9571EF9E-7683-47F4-8167-621660F657B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811" y="1275788"/>
              <a:ext cx="2834640" cy="20747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18</xdr:row>
      <xdr:rowOff>9527</xdr:rowOff>
    </xdr:from>
    <xdr:to>
      <xdr:col>3</xdr:col>
      <xdr:colOff>541244</xdr:colOff>
      <xdr:row>27</xdr:row>
      <xdr:rowOff>71437</xdr:rowOff>
    </xdr:to>
    <mc:AlternateContent xmlns:mc="http://schemas.openxmlformats.org/markup-compatibility/2006" xmlns:a14="http://schemas.microsoft.com/office/drawing/2010/main">
      <mc:Choice Requires="a14">
        <xdr:graphicFrame macro="">
          <xdr:nvGraphicFramePr>
            <xdr:cNvPr id="16" name="OrderStatus">
              <a:extLst>
                <a:ext uri="{FF2B5EF4-FFF2-40B4-BE49-F238E27FC236}">
                  <a16:creationId xmlns:a16="http://schemas.microsoft.com/office/drawing/2014/main" id="{170AD8DE-160B-4AC4-B7D2-C36E71707756}"/>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9050" y="3752292"/>
              <a:ext cx="2819400" cy="17764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30</xdr:row>
      <xdr:rowOff>14289</xdr:rowOff>
    </xdr:from>
    <xdr:to>
      <xdr:col>3</xdr:col>
      <xdr:colOff>526956</xdr:colOff>
      <xdr:row>39</xdr:row>
      <xdr:rowOff>44824</xdr:rowOff>
    </xdr:to>
    <mc:AlternateContent xmlns:mc="http://schemas.openxmlformats.org/markup-compatibility/2006" xmlns:a14="http://schemas.microsoft.com/office/drawing/2010/main">
      <mc:Choice Requires="a14">
        <xdr:graphicFrame macro="">
          <xdr:nvGraphicFramePr>
            <xdr:cNvPr id="18" name="PaymentMethod">
              <a:extLst>
                <a:ext uri="{FF2B5EF4-FFF2-40B4-BE49-F238E27FC236}">
                  <a16:creationId xmlns:a16="http://schemas.microsoft.com/office/drawing/2014/main" id="{5AAECABA-A0B3-4025-8561-8BF0BCDF179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3812" y="6043054"/>
              <a:ext cx="2800350" cy="174503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22412</xdr:colOff>
      <xdr:row>42</xdr:row>
      <xdr:rowOff>19330</xdr:rowOff>
    </xdr:from>
    <xdr:to>
      <xdr:col>3</xdr:col>
      <xdr:colOff>537882</xdr:colOff>
      <xdr:row>51</xdr:row>
      <xdr:rowOff>76479</xdr:rowOff>
    </xdr:to>
    <mc:AlternateContent xmlns:mc="http://schemas.openxmlformats.org/markup-compatibility/2006" xmlns:a14="http://schemas.microsoft.com/office/drawing/2010/main">
      <mc:Choice Requires="a14">
        <xdr:graphicFrame macro="">
          <xdr:nvGraphicFramePr>
            <xdr:cNvPr id="23" name="Quantity">
              <a:extLst>
                <a:ext uri="{FF2B5EF4-FFF2-40B4-BE49-F238E27FC236}">
                  <a16:creationId xmlns:a16="http://schemas.microsoft.com/office/drawing/2014/main" id="{6E3A83F8-05AE-43A4-B91D-F577018880B2}"/>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22412" y="8334095"/>
              <a:ext cx="2812676" cy="17716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17</xdr:row>
      <xdr:rowOff>9521</xdr:rowOff>
    </xdr:from>
    <xdr:to>
      <xdr:col>15</xdr:col>
      <xdr:colOff>0</xdr:colOff>
      <xdr:row>36</xdr:row>
      <xdr:rowOff>33332</xdr:rowOff>
    </xdr:to>
    <xdr:graphicFrame macro="">
      <xdr:nvGraphicFramePr>
        <xdr:cNvPr id="3" name="Chart 2">
          <a:extLst>
            <a:ext uri="{FF2B5EF4-FFF2-40B4-BE49-F238E27FC236}">
              <a16:creationId xmlns:a16="http://schemas.microsoft.com/office/drawing/2014/main" id="{1296E120-14A6-4746-AD1D-569646069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2646</xdr:colOff>
      <xdr:row>16</xdr:row>
      <xdr:rowOff>190496</xdr:rowOff>
    </xdr:from>
    <xdr:to>
      <xdr:col>39</xdr:col>
      <xdr:colOff>0</xdr:colOff>
      <xdr:row>36</xdr:row>
      <xdr:rowOff>17313</xdr:rowOff>
    </xdr:to>
    <xdr:graphicFrame macro="">
      <xdr:nvGraphicFramePr>
        <xdr:cNvPr id="4" name="Chart 3">
          <a:extLst>
            <a:ext uri="{FF2B5EF4-FFF2-40B4-BE49-F238E27FC236}">
              <a16:creationId xmlns:a16="http://schemas.microsoft.com/office/drawing/2014/main" id="{0CE4E2C6-A88B-417B-9079-35F9FDF3C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606135</xdr:colOff>
      <xdr:row>17</xdr:row>
      <xdr:rowOff>8654</xdr:rowOff>
    </xdr:from>
    <xdr:to>
      <xdr:col>26</xdr:col>
      <xdr:colOff>606135</xdr:colOff>
      <xdr:row>36</xdr:row>
      <xdr:rowOff>34631</xdr:rowOff>
    </xdr:to>
    <xdr:graphicFrame macro="">
      <xdr:nvGraphicFramePr>
        <xdr:cNvPr id="5" name="Chart 4">
          <a:extLst>
            <a:ext uri="{FF2B5EF4-FFF2-40B4-BE49-F238E27FC236}">
              <a16:creationId xmlns:a16="http://schemas.microsoft.com/office/drawing/2014/main" id="{44CF7B03-8214-4D3A-A59B-EDEEEB365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xdr:row>
      <xdr:rowOff>0</xdr:rowOff>
    </xdr:from>
    <xdr:to>
      <xdr:col>9</xdr:col>
      <xdr:colOff>38100</xdr:colOff>
      <xdr:row>14</xdr:row>
      <xdr:rowOff>22412</xdr:rowOff>
    </xdr:to>
    <xdr:sp macro="" textlink="KPI!H4">
      <xdr:nvSpPr>
        <xdr:cNvPr id="6" name="Rectangle: Rounded Corners 5">
          <a:extLst>
            <a:ext uri="{FF2B5EF4-FFF2-40B4-BE49-F238E27FC236}">
              <a16:creationId xmlns:a16="http://schemas.microsoft.com/office/drawing/2014/main" id="{BCA9F129-954A-4DB0-B356-4FAA534CE4A5}"/>
            </a:ext>
          </a:extLst>
        </xdr:cNvPr>
        <xdr:cNvSpPr/>
      </xdr:nvSpPr>
      <xdr:spPr>
        <a:xfrm>
          <a:off x="1815353" y="952500"/>
          <a:ext cx="3063688" cy="1736912"/>
        </a:xfrm>
        <a:prstGeom prst="roundRect">
          <a:avLst/>
        </a:prstGeom>
        <a:solidFill>
          <a:schemeClr val="accent2"/>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b"/>
        <a:lstStyle/>
        <a:p>
          <a:pPr algn="ctr"/>
          <a:fld id="{D287A554-5D9A-4BD9-A89C-12AFEAF359E2}" type="TxLink">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74.25%</a:t>
          </a:fld>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a:t>
          </a: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COUPON USAGE RATE</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10</xdr:col>
      <xdr:colOff>6723</xdr:colOff>
      <xdr:row>5</xdr:row>
      <xdr:rowOff>6724</xdr:rowOff>
    </xdr:from>
    <xdr:to>
      <xdr:col>15</xdr:col>
      <xdr:colOff>44823</xdr:colOff>
      <xdr:row>14</xdr:row>
      <xdr:rowOff>11206</xdr:rowOff>
    </xdr:to>
    <xdr:sp macro="" textlink="KPI!I4">
      <xdr:nvSpPr>
        <xdr:cNvPr id="7" name="Rectangle: Rounded Corners 6">
          <a:extLst>
            <a:ext uri="{FF2B5EF4-FFF2-40B4-BE49-F238E27FC236}">
              <a16:creationId xmlns:a16="http://schemas.microsoft.com/office/drawing/2014/main" id="{FA63D989-A064-0AED-619F-F1F511E554E0}"/>
            </a:ext>
          </a:extLst>
        </xdr:cNvPr>
        <xdr:cNvSpPr/>
      </xdr:nvSpPr>
      <xdr:spPr>
        <a:xfrm>
          <a:off x="5452782" y="959224"/>
          <a:ext cx="3063688" cy="1718982"/>
        </a:xfrm>
        <a:prstGeom prst="roundRect">
          <a:avLst/>
        </a:prstGeom>
        <a:solidFill>
          <a:schemeClr val="accent2"/>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fld id="{38080E85-8C8C-417F-995F-5B3A372E3043}" type="TxLink">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891</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TOTAL COUPON USED</a:t>
          </a:r>
          <a:endParaRPr lang="en-NG" sz="2400" b="1">
            <a:ln>
              <a:solidFill>
                <a:schemeClr val="bg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15</xdr:col>
      <xdr:colOff>592149</xdr:colOff>
      <xdr:row>4</xdr:row>
      <xdr:rowOff>190340</xdr:rowOff>
    </xdr:from>
    <xdr:to>
      <xdr:col>21</xdr:col>
      <xdr:colOff>4320</xdr:colOff>
      <xdr:row>13</xdr:row>
      <xdr:rowOff>188098</xdr:rowOff>
    </xdr:to>
    <xdr:sp macro="" textlink="'Revenue by Referral Source'!D7">
      <xdr:nvSpPr>
        <xdr:cNvPr id="8" name="Rectangle: Rounded Corners 7">
          <a:extLst>
            <a:ext uri="{FF2B5EF4-FFF2-40B4-BE49-F238E27FC236}">
              <a16:creationId xmlns:a16="http://schemas.microsoft.com/office/drawing/2014/main" id="{72E7F37A-D023-5575-AAFA-4639BE20A0A0}"/>
            </a:ext>
          </a:extLst>
        </xdr:cNvPr>
        <xdr:cNvSpPr/>
      </xdr:nvSpPr>
      <xdr:spPr>
        <a:xfrm>
          <a:off x="9572863" y="1483019"/>
          <a:ext cx="3086100" cy="1712258"/>
        </a:xfrm>
        <a:prstGeom prst="roundRect">
          <a:avLst/>
        </a:prstGeom>
        <a:solidFill>
          <a:schemeClr val="accent2"/>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04789805-5959-49C9-BC75-08F4B162919C}" type="TxLink">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Instagram</a:t>
          </a:fld>
          <a:endPar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BEST REFERRAL</a:t>
          </a:r>
        </a:p>
      </xdr:txBody>
    </xdr:sp>
    <xdr:clientData/>
  </xdr:twoCellAnchor>
  <xdr:twoCellAnchor>
    <xdr:from>
      <xdr:col>22</xdr:col>
      <xdr:colOff>8963</xdr:colOff>
      <xdr:row>4</xdr:row>
      <xdr:rowOff>188260</xdr:rowOff>
    </xdr:from>
    <xdr:to>
      <xdr:col>27</xdr:col>
      <xdr:colOff>47063</xdr:colOff>
      <xdr:row>14</xdr:row>
      <xdr:rowOff>11206</xdr:rowOff>
    </xdr:to>
    <xdr:sp macro="" textlink="'Top Customers'!D8">
      <xdr:nvSpPr>
        <xdr:cNvPr id="9" name="Rectangle: Rounded Corners 8">
          <a:extLst>
            <a:ext uri="{FF2B5EF4-FFF2-40B4-BE49-F238E27FC236}">
              <a16:creationId xmlns:a16="http://schemas.microsoft.com/office/drawing/2014/main" id="{07529BCE-1D00-84EA-00E9-9985BC21B28F}"/>
            </a:ext>
          </a:extLst>
        </xdr:cNvPr>
        <xdr:cNvSpPr/>
      </xdr:nvSpPr>
      <xdr:spPr>
        <a:xfrm>
          <a:off x="12716434" y="950260"/>
          <a:ext cx="3063688" cy="1727946"/>
        </a:xfrm>
        <a:prstGeom prst="roundRect">
          <a:avLst/>
        </a:prstGeom>
        <a:solidFill>
          <a:schemeClr val="accent2"/>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37452954-9566-48F1-A635-99F15B98D969}" type="TxLink">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C38840</a:t>
          </a:fld>
          <a:endPar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TOP 1 CUSTOMER</a:t>
          </a:r>
          <a:endParaRPr lang="en-US" sz="2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xdr:txBody>
    </xdr:sp>
    <xdr:clientData/>
  </xdr:twoCellAnchor>
  <xdr:twoCellAnchor>
    <xdr:from>
      <xdr:col>3</xdr:col>
      <xdr:colOff>405132</xdr:colOff>
      <xdr:row>39</xdr:row>
      <xdr:rowOff>165683</xdr:rowOff>
    </xdr:from>
    <xdr:to>
      <xdr:col>14</xdr:col>
      <xdr:colOff>612320</xdr:colOff>
      <xdr:row>59</xdr:row>
      <xdr:rowOff>176893</xdr:rowOff>
    </xdr:to>
    <xdr:graphicFrame macro="">
      <xdr:nvGraphicFramePr>
        <xdr:cNvPr id="10" name="Chart 9">
          <a:extLst>
            <a:ext uri="{FF2B5EF4-FFF2-40B4-BE49-F238E27FC236}">
              <a16:creationId xmlns:a16="http://schemas.microsoft.com/office/drawing/2014/main" id="{B0688791-5E1D-41CE-8FCA-BA79B6697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606238</xdr:colOff>
      <xdr:row>5</xdr:row>
      <xdr:rowOff>29295</xdr:rowOff>
    </xdr:from>
    <xdr:to>
      <xdr:col>32</xdr:col>
      <xdr:colOff>588148</xdr:colOff>
      <xdr:row>14</xdr:row>
      <xdr:rowOff>13607</xdr:rowOff>
    </xdr:to>
    <xdr:sp macro="" textlink="'Avg Order Value by Paymt Mthd'!D5">
      <xdr:nvSpPr>
        <xdr:cNvPr id="11" name="Rectangle: Rounded Corners 10">
          <a:extLst>
            <a:ext uri="{FF2B5EF4-FFF2-40B4-BE49-F238E27FC236}">
              <a16:creationId xmlns:a16="http://schemas.microsoft.com/office/drawing/2014/main" id="{22CEB27F-180A-C956-727D-97381C504B98}"/>
            </a:ext>
          </a:extLst>
        </xdr:cNvPr>
        <xdr:cNvSpPr/>
      </xdr:nvSpPr>
      <xdr:spPr>
        <a:xfrm>
          <a:off x="16934809" y="1512474"/>
          <a:ext cx="3043518" cy="1698812"/>
        </a:xfrm>
        <a:prstGeom prst="roundRect">
          <a:avLst/>
        </a:prstGeom>
        <a:solidFill>
          <a:schemeClr val="accent2"/>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fld id="{1A417C34-C8DB-4068-8EBD-C7C68ADCB637}" type="TxLink">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Credit Card</a:t>
          </a:fld>
          <a:endPar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TOP</a:t>
          </a:r>
          <a:r>
            <a:rPr lang="en-US" sz="2400" b="1" i="0" u="none" strike="noStrike" baseline="0">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1 PAYMENT METHOD</a:t>
          </a:r>
          <a:endPar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endParaRPr>
        </a:p>
      </xdr:txBody>
    </xdr:sp>
    <xdr:clientData/>
  </xdr:twoCellAnchor>
  <xdr:twoCellAnchor>
    <xdr:from>
      <xdr:col>34</xdr:col>
      <xdr:colOff>16808</xdr:colOff>
      <xdr:row>5</xdr:row>
      <xdr:rowOff>49026</xdr:rowOff>
    </xdr:from>
    <xdr:to>
      <xdr:col>39</xdr:col>
      <xdr:colOff>12326</xdr:colOff>
      <xdr:row>14</xdr:row>
      <xdr:rowOff>33338</xdr:rowOff>
    </xdr:to>
    <xdr:sp macro="" textlink="KPI!J4">
      <xdr:nvSpPr>
        <xdr:cNvPr id="12" name="Rectangle: Rounded Corners 11">
          <a:extLst>
            <a:ext uri="{FF2B5EF4-FFF2-40B4-BE49-F238E27FC236}">
              <a16:creationId xmlns:a16="http://schemas.microsoft.com/office/drawing/2014/main" id="{A57CCC45-6638-24F9-2245-06023C370460}"/>
            </a:ext>
          </a:extLst>
        </xdr:cNvPr>
        <xdr:cNvSpPr/>
      </xdr:nvSpPr>
      <xdr:spPr>
        <a:xfrm>
          <a:off x="19985690" y="1001526"/>
          <a:ext cx="3021107" cy="1698812"/>
        </a:xfrm>
        <a:prstGeom prst="roundRect">
          <a:avLst/>
        </a:prstGeom>
        <a:solidFill>
          <a:schemeClr val="accent2"/>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fld id="{6B1A3BF1-26F9-4DA2-8A39-E75BF47CDFD0}" type="TxLink">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pPr algn="ctr"/>
            <a:t>1057.64</a:t>
          </a:fld>
          <a:r>
            <a:rPr lang="en-US" sz="40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 </a:t>
          </a:r>
        </a:p>
        <a:p>
          <a:pPr algn="ctr"/>
          <a:r>
            <a:rPr lang="en-US" sz="2400" b="1" i="0" u="none" strike="noStrike">
              <a:ln>
                <a:solidFill>
                  <a:schemeClr val="bg1"/>
                </a:solidFill>
              </a:ln>
              <a:solidFill>
                <a:schemeClr val="bg1"/>
              </a:solidFill>
              <a:effectLst>
                <a:outerShdw blurRad="50800" dist="38100" dir="2700000" algn="tl" rotWithShape="0">
                  <a:prstClr val="black">
                    <a:alpha val="40000"/>
                  </a:prstClr>
                </a:outerShdw>
              </a:effectLst>
              <a:latin typeface="Calibri"/>
              <a:cs typeface="Calibri"/>
            </a:rPr>
            <a:t>AVG COUPON ORDER VALUE</a:t>
          </a:r>
        </a:p>
      </xdr:txBody>
    </xdr:sp>
    <xdr:clientData/>
  </xdr:twoCellAnchor>
  <xdr:twoCellAnchor>
    <xdr:from>
      <xdr:col>16</xdr:col>
      <xdr:colOff>0</xdr:colOff>
      <xdr:row>39</xdr:row>
      <xdr:rowOff>176893</xdr:rowOff>
    </xdr:from>
    <xdr:to>
      <xdr:col>27</xdr:col>
      <xdr:colOff>2</xdr:colOff>
      <xdr:row>59</xdr:row>
      <xdr:rowOff>176893</xdr:rowOff>
    </xdr:to>
    <xdr:graphicFrame macro="">
      <xdr:nvGraphicFramePr>
        <xdr:cNvPr id="14" name="Chart 13">
          <a:extLst>
            <a:ext uri="{FF2B5EF4-FFF2-40B4-BE49-F238E27FC236}">
              <a16:creationId xmlns:a16="http://schemas.microsoft.com/office/drawing/2014/main" id="{9E14A28D-CF8F-44A0-99E8-5DC11B675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612320</xdr:colOff>
      <xdr:row>39</xdr:row>
      <xdr:rowOff>190499</xdr:rowOff>
    </xdr:from>
    <xdr:to>
      <xdr:col>39</xdr:col>
      <xdr:colOff>-1</xdr:colOff>
      <xdr:row>59</xdr:row>
      <xdr:rowOff>176892</xdr:rowOff>
    </xdr:to>
    <xdr:graphicFrame macro="">
      <xdr:nvGraphicFramePr>
        <xdr:cNvPr id="15" name="Chart 14">
          <a:extLst>
            <a:ext uri="{FF2B5EF4-FFF2-40B4-BE49-F238E27FC236}">
              <a16:creationId xmlns:a16="http://schemas.microsoft.com/office/drawing/2014/main" id="{650EB41F-3EE3-4DD8-B240-2A635C19C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4777</xdr:colOff>
      <xdr:row>5</xdr:row>
      <xdr:rowOff>23809</xdr:rowOff>
    </xdr:from>
    <xdr:to>
      <xdr:col>2</xdr:col>
      <xdr:colOff>600075</xdr:colOff>
      <xdr:row>14</xdr:row>
      <xdr:rowOff>9524</xdr:rowOff>
    </xdr:to>
    <mc:AlternateContent xmlns:mc="http://schemas.openxmlformats.org/markup-compatibility/2006" xmlns:a14="http://schemas.microsoft.com/office/drawing/2010/main">
      <mc:Choice Requires="a14">
        <xdr:graphicFrame macro="">
          <xdr:nvGraphicFramePr>
            <xdr:cNvPr id="16" name="CouponCode">
              <a:extLst>
                <a:ext uri="{FF2B5EF4-FFF2-40B4-BE49-F238E27FC236}">
                  <a16:creationId xmlns:a16="http://schemas.microsoft.com/office/drawing/2014/main" id="{B32B8AD1-773F-4FF2-B483-5375EC681AB9}"/>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mlns="">
        <xdr:sp macro="" textlink="">
          <xdr:nvSpPr>
            <xdr:cNvPr id="0" name=""/>
            <xdr:cNvSpPr>
              <a:spLocks noTextEdit="1"/>
            </xdr:cNvSpPr>
          </xdr:nvSpPr>
          <xdr:spPr>
            <a:xfrm>
              <a:off x="4777" y="1495854"/>
              <a:ext cx="1807571" cy="17002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9525</xdr:rowOff>
    </xdr:from>
    <xdr:to>
      <xdr:col>3</xdr:col>
      <xdr:colOff>0</xdr:colOff>
      <xdr:row>26</xdr:row>
      <xdr:rowOff>19050</xdr:rowOff>
    </xdr:to>
    <mc:AlternateContent xmlns:mc="http://schemas.openxmlformats.org/markup-compatibility/2006" xmlns:a14="http://schemas.microsoft.com/office/drawing/2010/main">
      <mc:Choice Requires="a14">
        <xdr:graphicFrame macro="">
          <xdr:nvGraphicFramePr>
            <xdr:cNvPr id="17" name="OrderStatus 1">
              <a:extLst>
                <a:ext uri="{FF2B5EF4-FFF2-40B4-BE49-F238E27FC236}">
                  <a16:creationId xmlns:a16="http://schemas.microsoft.com/office/drawing/2014/main" id="{1BE9E68B-DE24-4A7D-828E-D83ACA4804AE}"/>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0" y="3767570"/>
              <a:ext cx="1818409" cy="1724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180975</xdr:rowOff>
    </xdr:from>
    <xdr:to>
      <xdr:col>3</xdr:col>
      <xdr:colOff>866</xdr:colOff>
      <xdr:row>37</xdr:row>
      <xdr:rowOff>0</xdr:rowOff>
    </xdr:to>
    <mc:AlternateContent xmlns:mc="http://schemas.openxmlformats.org/markup-compatibility/2006" xmlns:a14="http://schemas.microsoft.com/office/drawing/2010/main">
      <mc:Choice Requires="a14">
        <xdr:graphicFrame macro="">
          <xdr:nvGraphicFramePr>
            <xdr:cNvPr id="18" name="PaymentMethod 1">
              <a:extLst>
                <a:ext uri="{FF2B5EF4-FFF2-40B4-BE49-F238E27FC236}">
                  <a16:creationId xmlns:a16="http://schemas.microsoft.com/office/drawing/2014/main" id="{3FB5A74D-2F21-47EE-BCCE-2D0182B6E58B}"/>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0" y="5844020"/>
              <a:ext cx="1819275" cy="1724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9526</xdr:rowOff>
    </xdr:from>
    <xdr:to>
      <xdr:col>3</xdr:col>
      <xdr:colOff>10391</xdr:colOff>
      <xdr:row>48</xdr:row>
      <xdr:rowOff>47626</xdr:rowOff>
    </xdr:to>
    <mc:AlternateContent xmlns:mc="http://schemas.openxmlformats.org/markup-compatibility/2006" xmlns:a14="http://schemas.microsoft.com/office/drawing/2010/main">
      <mc:Choice Requires="a14">
        <xdr:graphicFrame macro="">
          <xdr:nvGraphicFramePr>
            <xdr:cNvPr id="19" name="ReferralSource">
              <a:extLst>
                <a:ext uri="{FF2B5EF4-FFF2-40B4-BE49-F238E27FC236}">
                  <a16:creationId xmlns:a16="http://schemas.microsoft.com/office/drawing/2014/main" id="{C37CA516-65C2-4B85-A389-522986C15350}"/>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0" y="7958571"/>
              <a:ext cx="1828800" cy="1752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20411</xdr:colOff>
      <xdr:row>50</xdr:row>
      <xdr:rowOff>678</xdr:rowOff>
    </xdr:from>
    <xdr:to>
      <xdr:col>3</xdr:col>
      <xdr:colOff>30802</xdr:colOff>
      <xdr:row>62</xdr:row>
      <xdr:rowOff>95249</xdr:rowOff>
    </xdr:to>
    <mc:AlternateContent xmlns:mc="http://schemas.openxmlformats.org/markup-compatibility/2006" xmlns:a14="http://schemas.microsoft.com/office/drawing/2010/main">
      <mc:Choice Requires="a14">
        <xdr:graphicFrame macro="">
          <xdr:nvGraphicFramePr>
            <xdr:cNvPr id="20" name="Product 1">
              <a:extLst>
                <a:ext uri="{FF2B5EF4-FFF2-40B4-BE49-F238E27FC236}">
                  <a16:creationId xmlns:a16="http://schemas.microsoft.com/office/drawing/2014/main" id="{57DB41FA-E3EA-44A3-8D38-D2CB3F64B5E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411" y="10045223"/>
              <a:ext cx="1828800" cy="23805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439351849" backgroundQuery="1" createdVersion="8" refreshedVersion="8" minRefreshableVersion="3" recordCount="0" supportSubquery="1" supportAdvancedDrill="1" xr:uid="{A4F31841-D13C-4F53-999E-C4B202738CA1}">
  <cacheSource type="external" connectionId="1"/>
  <cacheFields count="2">
    <cacheField name="[StoreOrders].[CouponCode].[CouponCode]" caption="CouponCode" numFmtId="0" hierarchy="11" level="1">
      <sharedItems count="4">
        <s v="FREESHIP"/>
        <s v="NIL"/>
        <s v="SAVE10"/>
        <s v="WINTER15"/>
      </sharedItems>
    </cacheField>
    <cacheField name="[Measures].[Count of OrderID]" caption="Count of OrderID" numFmtId="0" hierarchy="21" level="32767"/>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0"/>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08680554" backgroundQuery="1" createdVersion="8" refreshedVersion="8" minRefreshableVersion="3" recordCount="0" supportSubquery="1" supportAdvancedDrill="1" xr:uid="{D9FD7CDE-7F76-4DFA-A57E-F135F4FF5B31}">
  <cacheSource type="external" connectionId="1"/>
  <cacheFields count="3">
    <cacheField name="[StoreOrders].[OrderStatus].[OrderStatus]" caption="OrderStatus" numFmtId="0" hierarchy="8" level="1">
      <sharedItems count="5">
        <s v="Cancelled"/>
        <s v="Delivered"/>
        <s v="Pending"/>
        <s v="Returned"/>
        <s v="Shipped"/>
      </sharedItems>
    </cacheField>
    <cacheField name="[Measures].[Distinct Count of OrderID]" caption="Distinct Count of OrderID" numFmtId="0" hierarchy="22"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2" memberValueDatatype="130" unbalanced="0"/>
    <cacheHierarchy uniqueName="[StoreOrders].[Date]" caption="Date" attribute="1" time="1" defaultMemberUniqueName="[StoreOrders].[Date].[All]" allUniqueName="[StoreOrders].[Date].[All]" dimensionUniqueName="[StoreOrders]" displayFolder="" count="2" memberValueDatatype="7" unbalanced="0"/>
    <cacheHierarchy uniqueName="[StoreOrders].[CustomerID]" caption="CustomerID" attribute="1" defaultMemberUniqueName="[StoreOrders].[CustomerID].[All]" allUniqueName="[StoreOrders].[CustomerID].[All]" dimensionUniqueName="[StoreOrders]" displayFolder="" count="2"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2" memberValueDatatype="5" unbalanced="0"/>
    <cacheHierarchy uniqueName="[StoreOrders].[ShippingAddress]" caption="ShippingAddress" attribute="1" defaultMemberUniqueName="[StoreOrders].[ShippingAddress].[All]" allUniqueName="[StoreOrders].[ShippingAddress].[All]" dimensionUniqueName="[StoreOrders]" displayFolder="" count="2"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fieldsUsage count="2">
        <fieldUsage x="-1"/>
        <fieldUsage x="0"/>
      </fieldsUsage>
    </cacheHierarchy>
    <cacheHierarchy uniqueName="[StoreOrders].[TrackingNumber]" caption="TrackingNumber" attribute="1" defaultMemberUniqueName="[StoreOrders].[TrackingNumber].[All]" allUniqueName="[StoreOrders].[TrackingNumber].[All]" dimensionUniqueName="[StoreOrders]" displayFolder="" count="2" memberValueDatatype="130" unbalanced="0"/>
    <cacheHierarchy uniqueName="[StoreOrders].[ItemsInCart]" caption="ItemsInCart" attribute="1" defaultMemberUniqueName="[StoreOrders].[ItemsInCart].[All]" allUniqueName="[StoreOrders].[ItemsInCart].[All]" dimensionUniqueName="[StoreOrders]" displayFolder="" count="2"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2" memberValueDatatype="5" unbalanced="0"/>
    <cacheHierarchy uniqueName="[StoreOrders].[Date (Year)]" caption="Date (Year)" attribute="1" defaultMemberUniqueName="[StoreOrders].[Date (Year)].[All]" allUniqueName="[StoreOrders].[Date (Year)].[All]" dimensionUniqueName="[StoreOrders]" displayFolder="" count="2" memberValueDatatype="130" unbalanced="0"/>
    <cacheHierarchy uniqueName="[StoreOrders].[Date (Quarter)]" caption="Date (Quarter)" attribute="1" defaultMemberUniqueName="[StoreOrders].[Date (Quarter)].[All]" allUniqueName="[StoreOrders].[Date (Quarter)].[All]" dimensionUniqueName="[StoreOrders]" displayFolder="" count="2" memberValueDatatype="130" unbalanced="0"/>
    <cacheHierarchy uniqueName="[StoreOrders].[Date (Month)]" caption="Date (Month)" attribute="1" defaultMemberUniqueName="[StoreOrders].[Date (Month)].[All]" allUniqueName="[StoreOrders].[Date (Month)].[All]" dimensionUniqueName="[StoreOrders]" displayFolder="" count="2" memberValueDatatype="130" unbalanced="0"/>
    <cacheHierarchy uniqueName="[StoreOrders].[Date (Month Index)]" caption="Date (Month Index)" attribute="1" defaultMemberUniqueName="[StoreOrders].[Date (Month Index)].[All]" allUniqueName="[StoreOrders].[Date (Month Index)].[All]" dimensionUniqueName="[StoreOrders]" displayFolder="" count="2"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09259262" backgroundQuery="1" createdVersion="8" refreshedVersion="8" minRefreshableVersion="3" recordCount="0" supportSubquery="1" supportAdvancedDrill="1" xr:uid="{1A2381F9-BDDB-4E66-B9B7-7E73B033E736}">
  <cacheSource type="external" connectionId="1"/>
  <cacheFields count="3">
    <cacheField name="[StoreOrders].[PaymentMethod].[PaymentMethod]" caption="PaymentMethod" numFmtId="0" hierarchy="7" level="1">
      <sharedItems count="5">
        <s v="Cash"/>
        <s v="Credit Card"/>
        <s v="Debit Card"/>
        <s v="Gift Card"/>
        <s v="Online"/>
      </sharedItems>
    </cacheField>
    <cacheField name="[Measures].[Average of TotalPrice]" caption="Average of TotalPrice" numFmtId="0" hierarchy="27"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fieldsUsage count="2">
        <fieldUsage x="-1"/>
        <fieldUsage x="0"/>
      </fieldsUsage>
    </cacheHierarchy>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0879632" backgroundQuery="1" createdVersion="8" refreshedVersion="8" minRefreshableVersion="3" recordCount="0" supportSubquery="1" supportAdvancedDrill="1" xr:uid="{0B2DD0D3-644B-4852-AED2-7F6CDB21CA0B}">
  <cacheSource type="external" connectionId="1"/>
  <cacheFields count="5">
    <cacheField name="[Measures].[Sum of TotalPrice]" caption="Sum of TotalPrice" numFmtId="0" hierarchy="20" level="32767"/>
    <cacheField name="[Measures].[Distinct Count of OrderID]" caption="Distinct Count of OrderID" numFmtId="0" hierarchy="22" level="32767"/>
    <cacheField name="[Measures].[Distinct Count of CustomerID]" caption="Distinct Count of CustomerID" numFmtId="0" hierarchy="24" level="32767"/>
    <cacheField name="[Measures].[Sum of Quantity]" caption="Sum of Quantity" numFmtId="0" hierarchy="25"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4"/>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1574072" backgroundQuery="1" createdVersion="8" refreshedVersion="8" minRefreshableVersion="3" recordCount="0" supportSubquery="1" supportAdvancedDrill="1" xr:uid="{6021CC69-C2B7-4D0E-A753-EC7F16A6E2E5}">
  <cacheSource type="external" connectionId="1"/>
  <cacheFields count="3">
    <cacheField name="[StoreOrders].[Product].[Product]" caption="Product" numFmtId="0" hierarchy="3" level="1">
      <sharedItems count="7">
        <s v="Chair"/>
        <s v="Desk"/>
        <s v="Laptop"/>
        <s v="Monitor"/>
        <s v="Phone"/>
        <s v="Printer"/>
        <s v="Tablet"/>
      </sharedItems>
    </cacheField>
    <cacheField name="[Measures].[Sum of TotalPrice]" caption="Sum of TotalPrice" numFmtId="0" hierarchy="20"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fieldsUsage count="2">
        <fieldUsage x="-1"/>
        <fieldUsage x="0"/>
      </fieldsUsage>
    </cacheHierarchy>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2037033" backgroundQuery="1" createdVersion="8" refreshedVersion="8" minRefreshableVersion="3" recordCount="0" supportSubquery="1" supportAdvancedDrill="1" xr:uid="{EF08920C-EEE4-4E70-A23F-8B0966DED337}">
  <cacheSource type="external" connectionId="1"/>
  <cacheFields count="3">
    <cacheField name="[StoreOrders].[PaymentMethod].[PaymentMethod]" caption="PaymentMethod" numFmtId="0" hierarchy="7" level="1">
      <sharedItems count="5">
        <s v="Cash"/>
        <s v="Credit Card"/>
        <s v="Debit Card"/>
        <s v="Gift Card"/>
        <s v="Online"/>
      </sharedItems>
    </cacheField>
    <cacheField name="[Measures].[Sum of TotalPrice]" caption="Sum of TotalPrice" numFmtId="0" hierarchy="20"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fieldsUsage count="2">
        <fieldUsage x="-1"/>
        <fieldUsage x="0"/>
      </fieldsUsage>
    </cacheHierarchy>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2500003" backgroundQuery="1" createdVersion="8" refreshedVersion="8" minRefreshableVersion="3" recordCount="0" supportSubquery="1" supportAdvancedDrill="1" xr:uid="{DCEEBEFA-FEB5-4DCA-8AA5-42EC9EB233CD}">
  <cacheSource type="external" connectionId="1"/>
  <cacheFields count="3">
    <cacheField name="[StoreOrders].[ReferralSource].[ReferralSource]" caption="ReferralSource" numFmtId="0" hierarchy="12" level="1">
      <sharedItems count="5">
        <s v="Email"/>
        <s v="Facebook"/>
        <s v="Google"/>
        <s v="Instagram"/>
        <s v="Referral"/>
      </sharedItems>
    </cacheField>
    <cacheField name="[Measures].[Sum of TotalPrice]" caption="Sum of TotalPrice" numFmtId="0" hierarchy="20"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fieldsUsage count="2">
        <fieldUsage x="-1"/>
        <fieldUsage x="0"/>
      </fieldsUsage>
    </cacheHierarchy>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3310188" backgroundQuery="1" createdVersion="8" refreshedVersion="8" minRefreshableVersion="3" recordCount="0" supportSubquery="1" supportAdvancedDrill="1" xr:uid="{01F58305-0935-4A71-B58D-C5C33122CF7A}">
  <cacheSource type="external" connectionId="1"/>
  <cacheFields count="4">
    <cacheField name="[StoreOrders].[Date (Month)].[Date (Month)]" caption="Date (Month)" numFmtId="0" hierarchy="16" level="1">
      <sharedItems count="12">
        <s v="Jan"/>
        <s v="Feb"/>
        <s v="Mar"/>
        <s v="Apr"/>
        <s v="May"/>
        <s v="Jun"/>
        <s v="Jul"/>
        <s v="Aug"/>
        <s v="Sep"/>
        <s v="Oct"/>
        <s v="Nov"/>
        <s v="Dec"/>
      </sharedItems>
    </cacheField>
    <cacheField name="[Measures].[Sum of TotalPrice]" caption="Sum of TotalPrice" numFmtId="0" hierarchy="20" level="32767"/>
    <cacheField name="[StoreOrders].[Date (Year)].[Date (Year)]" caption="Date (Year)" numFmtId="0" hierarchy="14" level="1">
      <sharedItems count="3">
        <s v="2023"/>
        <s v="2024"/>
        <s v="2025"/>
      </sharedItems>
    </cacheField>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3"/>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2" memberValueDatatype="130" unbalanced="0">
      <fieldsUsage count="2">
        <fieldUsage x="-1"/>
        <fieldUsage x="2"/>
      </fieldsUsage>
    </cacheHierarchy>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2" memberValueDatatype="130" unbalanced="0">
      <fieldsUsage count="2">
        <fieldUsage x="-1"/>
        <fieldUsage x="0"/>
      </fieldsUsage>
    </cacheHierarchy>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377315" backgroundQuery="1" createdVersion="8" refreshedVersion="8" minRefreshableVersion="3" recordCount="0" supportSubquery="1" supportAdvancedDrill="1" xr:uid="{F2A037F4-696A-41E1-8D84-E797399CD248}">
  <cacheSource type="external" connectionId="1"/>
  <cacheFields count="3">
    <cacheField name="[StoreOrders].[Product].[Product]" caption="Product" numFmtId="0" hierarchy="3" level="1">
      <sharedItems count="5">
        <s v="Chair"/>
        <s v="Desk"/>
        <s v="Laptop"/>
        <s v="Printer"/>
        <s v="Tablet"/>
      </sharedItems>
    </cacheField>
    <cacheField name="[Measures].[Sum of Quantity]" caption="Sum of Quantity" numFmtId="0" hierarchy="25"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fieldsUsage count="2">
        <fieldUsage x="-1"/>
        <fieldUsage x="0"/>
      </fieldsUsage>
    </cacheHierarchy>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4583335" backgroundQuery="1" createdVersion="8" refreshedVersion="8" minRefreshableVersion="3" recordCount="0" supportSubquery="1" supportAdvancedDrill="1" xr:uid="{BA9FF6F7-D10D-4AC2-B071-AA24E7E260C2}">
  <cacheSource type="external" connectionId="1"/>
  <cacheFields count="3">
    <cacheField name="[StoreOrders].[CustomerID].[CustomerID]" caption="CustomerID" numFmtId="0" hierarchy="2" level="1">
      <sharedItems count="10">
        <s v="C13877"/>
        <s v="C16775"/>
        <s v="C18404"/>
        <s v="C25276"/>
        <s v="C38840"/>
        <s v="C47778"/>
        <s v="C57276"/>
        <s v="C59183"/>
        <s v="C65986"/>
        <s v="C67260"/>
      </sharedItems>
    </cacheField>
    <cacheField name="[Measures].[Sum of TotalPrice]" caption="Sum of TotalPrice" numFmtId="0" hierarchy="20"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2" memberValueDatatype="130" unbalanced="0">
      <fieldsUsage count="2">
        <fieldUsage x="-1"/>
        <fieldUsage x="0"/>
      </fieldsUsage>
    </cacheHierarchy>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800772800925" backgroundQuery="1" createdVersion="3" refreshedVersion="8" minRefreshableVersion="3" recordCount="0" supportSubquery="1" supportAdvancedDrill="1" xr:uid="{F0A1A001-0FD9-4EA5-9BE3-603CF4F1E109}">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2"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0" memberValueDatatype="130" unbalanced="0"/>
    <cacheHierarchy uniqueName="[StoreOrders].[ReferralSource]" caption="ReferralSource" attribute="1" defaultMemberUniqueName="[StoreOrders].[ReferralSource].[All]" allUniqueName="[StoreOrders].[ReferralSource].[All]" dimensionUniqueName="[StoreOrders]" displayFolder="" count="0"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0354944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88458784722" backgroundQuery="1" createdVersion="3" refreshedVersion="8" minRefreshableVersion="3" recordCount="0" supportSubquery="1" supportAdvancedDrill="1" xr:uid="{AF77F0BD-7FAB-462A-AB2B-FC8B9FDD871C}">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0"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0"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3078871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4915277777" backgroundQuery="1" createdVersion="8" refreshedVersion="8" minRefreshableVersion="3" recordCount="0" supportSubquery="1" supportAdvancedDrill="1" xr:uid="{27C727DD-A67F-458E-A4A7-172EE5612D31}">
  <cacheSource type="external" connectionId="1">
    <extLst>
      <ext xmlns:x14="http://schemas.microsoft.com/office/spreadsheetml/2009/9/main" uri="{F057638F-6D5F-4e77-A914-E7F072B9BCA8}">
        <x14:sourceConnection name="ThisWorkbookDataModel"/>
      </ext>
    </extLst>
  </cacheSource>
  <cacheFields count="2">
    <cacheField name="[StoreOrders].[CouponCode].[CouponCode]" caption="CouponCode" numFmtId="0" hierarchy="11" level="1">
      <sharedItems count="4">
        <s v="FREESHIP"/>
        <s v="NIL"/>
        <s v="SAVE10"/>
        <s v="WINTER15"/>
      </sharedItems>
    </cacheField>
    <cacheField name="[Measures].[Sum of TotalPrice]" caption="Sum of TotalPrice" numFmtId="0" hierarchy="20" level="32767"/>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0"/>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pivotCacheId="6833612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09953701" backgroundQuery="1" createdVersion="8" refreshedVersion="8" minRefreshableVersion="3" recordCount="0" supportSubquery="1" supportAdvancedDrill="1" xr:uid="{410C23B0-65F4-45D7-8FDA-5C65F5CA83F3}">
  <cacheSource type="external" connectionId="1">
    <extLst>
      <ext xmlns:x14="http://schemas.microsoft.com/office/spreadsheetml/2009/9/main" uri="{F057638F-6D5F-4e77-A914-E7F072B9BCA8}">
        <x14:sourceConnection name="ThisWorkbookDataModel"/>
      </ext>
    </extLst>
  </cacheSource>
  <cacheFields count="3">
    <cacheField name="[Measures].[Sum of TotalPrice]" caption="Sum of TotalPrice" numFmtId="0" hierarchy="20" level="32767"/>
    <cacheField name="[StoreOrders].[CustomerID].[CustomerID]" caption="CustomerID" numFmtId="0" hierarchy="2" level="1">
      <sharedItems count="10">
        <s v="C13877"/>
        <s v="C16775"/>
        <s v="C18404"/>
        <s v="C25276"/>
        <s v="C47778"/>
        <s v="C53464"/>
        <s v="C57276"/>
        <s v="C59183"/>
        <s v="C65986"/>
        <s v="C67260"/>
      </sharedItems>
    </cacheField>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0"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2" memberValueDatatype="130" unbalanced="0">
      <fieldsUsage count="2">
        <fieldUsage x="-1"/>
        <fieldUsage x="1"/>
      </fieldsUsage>
    </cacheHierarchy>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pivotCacheId="16207664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n_Mizzy" refreshedDate="46226.995610300924" backgroundQuery="1" createdVersion="8" refreshedVersion="8" minRefreshableVersion="3" recordCount="0" supportSubquery="1" supportAdvancedDrill="1" xr:uid="{5DD629EE-613D-40E4-924D-803D11103C52}">
  <cacheSource type="external" connectionId="1">
    <extLst>
      <ext xmlns:x14="http://schemas.microsoft.com/office/spreadsheetml/2009/9/main" uri="{F057638F-6D5F-4e77-A914-E7F072B9BCA8}">
        <x14:sourceConnection name="ThisWorkbookDataModel"/>
      </ext>
    </extLst>
  </cacheSource>
  <cacheFields count="3">
    <cacheField name="[StoreOrders].[ReferralSource].[ReferralSource]" caption="ReferralSource" numFmtId="0" hierarchy="12" level="1">
      <sharedItems count="5">
        <s v="Email"/>
        <s v="Facebook"/>
        <s v="Google"/>
        <s v="Instagram"/>
        <s v="Referral"/>
      </sharedItems>
    </cacheField>
    <cacheField name="[Measures].[Count of OrderID]" caption="Count of OrderID" numFmtId="0" hierarchy="21" level="32767"/>
    <cacheField name="[StoreOrders].[CouponCode].[CouponCode]" caption="CouponCode" numFmtId="0" hierarchy="11" level="1">
      <sharedItems containsSemiMixedTypes="0" containsNonDate="0" containsString="0"/>
    </cacheField>
  </cacheFields>
  <cacheHierarchies count="29">
    <cacheHierarchy uniqueName="[StoreOrders].[OrderID]" caption="OrderID" attribute="1" defaultMemberUniqueName="[StoreOrders].[OrderID].[All]" allUniqueName="[StoreOrders].[OrderID].[All]" dimensionUniqueName="[StoreOrders]" displayFolder="" count="2" memberValueDatatype="130" unbalanced="0"/>
    <cacheHierarchy uniqueName="[StoreOrders].[Date]" caption="Date" attribute="1" time="1" defaultMemberUniqueName="[StoreOrders].[Date].[All]" allUniqueName="[StoreOrders].[Date].[All]" dimensionUniqueName="[StoreOrders]" displayFolder="" count="0" memberValueDatatype="7" unbalanced="0"/>
    <cacheHierarchy uniqueName="[StoreOrders].[CustomerID]" caption="CustomerID" attribute="1" defaultMemberUniqueName="[StoreOrders].[CustomerID].[All]" allUniqueName="[StoreOrders].[CustomerID].[All]" dimensionUniqueName="[StoreOrders]" displayFolder="" count="0" memberValueDatatype="130" unbalanced="0"/>
    <cacheHierarchy uniqueName="[StoreOrders].[Product]" caption="Product" attribute="1" defaultMemberUniqueName="[StoreOrders].[Product].[All]" allUniqueName="[StoreOrders].[Product].[All]" dimensionUniqueName="[StoreOrders]" displayFolder="" count="2" memberValueDatatype="130" unbalanced="0"/>
    <cacheHierarchy uniqueName="[StoreOrders].[Quantity]" caption="Quantity" attribute="1" defaultMemberUniqueName="[StoreOrders].[Quantity].[All]" allUniqueName="[StoreOrders].[Quantity].[All]" dimensionUniqueName="[StoreOrders]" displayFolder="" count="0" memberValueDatatype="20" unbalanced="0"/>
    <cacheHierarchy uniqueName="[StoreOrders].[UnitPrice]" caption="UnitPrice" attribute="1" defaultMemberUniqueName="[StoreOrders].[UnitPrice].[All]" allUniqueName="[StoreOrders].[UnitPrice].[All]" dimensionUniqueName="[StoreOrders]" displayFolder="" count="0" memberValueDatatype="5" unbalanced="0"/>
    <cacheHierarchy uniqueName="[StoreOrders].[ShippingAddress]" caption="ShippingAddress" attribute="1" defaultMemberUniqueName="[StoreOrders].[ShippingAddress].[All]" allUniqueName="[StoreOrders].[ShippingAddress].[All]" dimensionUniqueName="[StoreOrders]" displayFolder="" count="0" memberValueDatatype="130" unbalanced="0"/>
    <cacheHierarchy uniqueName="[StoreOrders].[PaymentMethod]" caption="PaymentMethod" attribute="1" defaultMemberUniqueName="[StoreOrders].[PaymentMethod].[All]" allUniqueName="[StoreOrders].[PaymentMethod].[All]" dimensionUniqueName="[StoreOrders]" displayFolder="" count="2" memberValueDatatype="130" unbalanced="0"/>
    <cacheHierarchy uniqueName="[StoreOrders].[OrderStatus]" caption="OrderStatus" attribute="1" defaultMemberUniqueName="[StoreOrders].[OrderStatus].[All]" allUniqueName="[StoreOrders].[OrderStatus].[All]" dimensionUniqueName="[StoreOrders]" displayFolder="" count="2" memberValueDatatype="130" unbalanced="0"/>
    <cacheHierarchy uniqueName="[StoreOrders].[TrackingNumber]" caption="TrackingNumber" attribute="1" defaultMemberUniqueName="[StoreOrders].[TrackingNumber].[All]" allUniqueName="[StoreOrders].[TrackingNumber].[All]" dimensionUniqueName="[StoreOrders]" displayFolder="" count="0" memberValueDatatype="130" unbalanced="0"/>
    <cacheHierarchy uniqueName="[StoreOrders].[ItemsInCart]" caption="ItemsInCart" attribute="1" defaultMemberUniqueName="[StoreOrders].[ItemsInCart].[All]" allUniqueName="[StoreOrders].[ItemsInCart].[All]" dimensionUniqueName="[StoreOrders]" displayFolder="" count="0" memberValueDatatype="20" unbalanced="0"/>
    <cacheHierarchy uniqueName="[StoreOrders].[CouponCode]" caption="CouponCode" attribute="1" defaultMemberUniqueName="[StoreOrders].[CouponCode].[All]" allUniqueName="[StoreOrders].[CouponCode].[All]" dimensionUniqueName="[StoreOrders]" displayFolder="" count="2" memberValueDatatype="130" unbalanced="0">
      <fieldsUsage count="2">
        <fieldUsage x="-1"/>
        <fieldUsage x="2"/>
      </fieldsUsage>
    </cacheHierarchy>
    <cacheHierarchy uniqueName="[StoreOrders].[ReferralSource]" caption="ReferralSource" attribute="1" defaultMemberUniqueName="[StoreOrders].[ReferralSource].[All]" allUniqueName="[StoreOrders].[ReferralSource].[All]" dimensionUniqueName="[StoreOrders]" displayFolder="" count="2" memberValueDatatype="130" unbalanced="0">
      <fieldsUsage count="2">
        <fieldUsage x="-1"/>
        <fieldUsage x="0"/>
      </fieldsUsage>
    </cacheHierarchy>
    <cacheHierarchy uniqueName="[StoreOrders].[TotalPrice]" caption="TotalPrice" attribute="1" defaultMemberUniqueName="[StoreOrders].[TotalPrice].[All]" allUniqueName="[StoreOrders].[TotalPrice].[All]" dimensionUniqueName="[StoreOrders]" displayFolder="" count="0" memberValueDatatype="5" unbalanced="0"/>
    <cacheHierarchy uniqueName="[StoreOrders].[Date (Year)]" caption="Date (Year)" attribute="1" defaultMemberUniqueName="[StoreOrders].[Date (Year)].[All]" allUniqueName="[StoreOrders].[Date (Year)].[All]" dimensionUniqueName="[StoreOrders]" displayFolder="" count="0" memberValueDatatype="130" unbalanced="0"/>
    <cacheHierarchy uniqueName="[StoreOrders].[Date (Quarter)]" caption="Date (Quarter)" attribute="1" defaultMemberUniqueName="[StoreOrders].[Date (Quarter)].[All]" allUniqueName="[StoreOrders].[Date (Quarter)].[All]" dimensionUniqueName="[StoreOrders]" displayFolder="" count="0" memberValueDatatype="130" unbalanced="0"/>
    <cacheHierarchy uniqueName="[StoreOrders].[Date (Month)]" caption="Date (Month)" attribute="1" defaultMemberUniqueName="[StoreOrders].[Date (Month)].[All]" allUniqueName="[StoreOrders].[Date (Month)].[All]" dimensionUniqueName="[StoreOrders]" displayFolder="" count="0" memberValueDatatype="130" unbalanced="0"/>
    <cacheHierarchy uniqueName="[StoreOrders].[Date (Month Index)]" caption="Date (Month Index)" attribute="1" defaultMemberUniqueName="[StoreOrders].[Date (Month Index)].[All]" allUniqueName="[StoreOrders].[Date (Month Index)].[All]" dimensionUniqueName="[StoreOrders]" displayFolder="" count="0" memberValueDatatype="20" unbalanced="0" hidden="1"/>
    <cacheHierarchy uniqueName="[Measures].[__XL_Count StoreOrders]" caption="__XL_Count StoreOrders" measure="1" displayFolder="" measureGroup="StoreOrders" count="0" hidden="1"/>
    <cacheHierarchy uniqueName="[Measures].[__No measures defined]" caption="__No measures defined" measure="1" displayFolder="" count="0" hidden="1"/>
    <cacheHierarchy uniqueName="[Measures].[Sum of TotalPrice]" caption="Sum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Store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toreOrders"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Store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toreOrders" count="0" hidden="1">
      <extLst>
        <ext xmlns:x15="http://schemas.microsoft.com/office/spreadsheetml/2010/11/main" uri="{B97F6D7D-B522-45F9-BDA1-12C45D357490}">
          <x15:cacheHierarchy aggregatedColumn="4"/>
        </ext>
      </extLst>
    </cacheHierarchy>
    <cacheHierarchy uniqueName="[Measures].[Count of OrderStatus]" caption="Count of OrderStatus" measure="1" displayFolder="" measureGroup="StoreOrders" count="0" hidden="1">
      <extLst>
        <ext xmlns:x15="http://schemas.microsoft.com/office/spreadsheetml/2010/11/main" uri="{B97F6D7D-B522-45F9-BDA1-12C45D357490}">
          <x15:cacheHierarchy aggregatedColumn="8"/>
        </ext>
      </extLst>
    </cacheHierarchy>
    <cacheHierarchy uniqueName="[Measures].[Average of TotalPrice]" caption="Average of TotalPrice" measure="1" displayFolder="" measureGroup="StoreOrders" count="0" hidden="1">
      <extLst>
        <ext xmlns:x15="http://schemas.microsoft.com/office/spreadsheetml/2010/11/main" uri="{B97F6D7D-B522-45F9-BDA1-12C45D357490}">
          <x15:cacheHierarchy aggregatedColumn="13"/>
        </ext>
      </extLst>
    </cacheHierarchy>
    <cacheHierarchy uniqueName="[Measures].[Count of ReferralSource]" caption="Count of ReferralSource" measure="1" displayFolder="" measureGroup="StoreOrder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toreOrders" uniqueName="[StoreOrders]" caption="StoreOrders"/>
  </dimensions>
  <measureGroups count="1">
    <measureGroup name="StoreOrders" caption="StoreOrders"/>
  </measureGroups>
  <maps count="1">
    <map measureGroup="0" dimension="1"/>
  </maps>
  <extLst>
    <ext xmlns:x14="http://schemas.microsoft.com/office/spreadsheetml/2009/9/main" uri="{725AE2AE-9491-48be-B2B4-4EB974FC3084}">
      <x14:pivotCacheDefinition pivotCacheId="13414369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9F437-558B-4D82-9F22-AAB823C8658F}" name="PivotChartTable4" cacheId="32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Pric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683361238">
        <x15:pivotRow count="1">
          <x15:c>
            <x15:v>335036.99000000028</x15:v>
          </x15:c>
        </x15:pivotRow>
        <x15:pivotRow count="1">
          <x15:c>
            <x15:v>322401.40999999992</x15:v>
          </x15:c>
        </x15:pivotRow>
        <x15:pivotRow count="1">
          <x15:c>
            <x15:v>304840.02</x15:v>
          </x15:c>
        </x15:pivotRow>
        <x15:pivotRow count="1">
          <x15:c>
            <x15:v>302483.54000000021</x15:v>
          </x15:c>
        </x15:pivotRow>
        <x15:pivotRow count="1">
          <x15:c>
            <x15:v>1264761.9600000004</x15:v>
          </x15:c>
        </x15:pivotRow>
      </x15:pivotTableData>
    </ext>
    <ext xmlns:x15="http://schemas.microsoft.com/office/spreadsheetml/2010/11/main" uri="{E67621CE-5B39-4880-91FE-76760E9C1902}">
      <x15:pivotTableUISetting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619D0-AB0B-4630-BBE3-590B8CCFE888}" name="PivotChartTable7" cacheId="32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Price" fld="0"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1" type="count" id="2" iMeasureHier="2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620766445">
        <x15:pivotRow count="1">
          <x15:c>
            <x15:v>3384.9</x15:v>
          </x15:c>
        </x15:pivotRow>
        <x15:pivotRow count="1">
          <x15:c>
            <x15:v>3353.75</x15:v>
          </x15:c>
        </x15:pivotRow>
        <x15:pivotRow count="1">
          <x15:c>
            <x15:v>3370.2</x15:v>
          </x15:c>
        </x15:pivotRow>
        <x15:pivotRow count="1">
          <x15:c>
            <x15:v>3313.9</x15:v>
          </x15:c>
        </x15:pivotRow>
        <x15:pivotRow count="1">
          <x15:c>
            <x15:v>3334</x15:v>
          </x15:c>
        </x15:pivotRow>
        <x15:pivotRow count="1">
          <x15:c>
            <x15:v>3299.25</x15:v>
          </x15:c>
        </x15:pivotRow>
        <x15:pivotRow count="1">
          <x15:c>
            <x15:v>3456.4</x15:v>
          </x15:c>
        </x15:pivotRow>
        <x15:pivotRow count="1">
          <x15:c>
            <x15:v>3322.55</x15:v>
          </x15:c>
        </x15:pivotRow>
        <x15:pivotRow count="1">
          <x15:c>
            <x15:v>3352.4</x15:v>
          </x15:c>
        </x15:pivotRow>
        <x15:pivotRow count="1">
          <x15:c>
            <x15:v>3390.8</x15:v>
          </x15:c>
        </x15:pivotRow>
        <x15:pivotRow count="1">
          <x15:c>
            <x15:v>33578.15</x15:v>
          </x15:c>
        </x15:pivotRow>
      </x15:pivotTableData>
    </ext>
    <ext xmlns:x15="http://schemas.microsoft.com/office/spreadsheetml/2010/11/main" uri="{E67621CE-5B39-4880-91FE-76760E9C1902}">
      <x15:pivotTableUISetting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03DC34-CCE0-4DF9-BCCC-B425350CA735}" name="PivotChartTable9" cacheId="32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ID" fld="1" subtotal="count" baseField="0" baseItem="0"/>
  </dataFields>
  <chartFormats count="3">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341436962">
        <x15:pivotRow count="1">
          <x15:c>
            <x15:v>250</x15:v>
          </x15:c>
        </x15:pivotRow>
        <x15:pivotRow count="1">
          <x15:c>
            <x15:v>228</x15:v>
          </x15:c>
        </x15:pivotRow>
        <x15:pivotRow count="1">
          <x15:c>
            <x15:v>241</x15:v>
          </x15:c>
        </x15:pivotRow>
        <x15:pivotRow count="1">
          <x15:c>
            <x15:v>259</x15:v>
          </x15:c>
        </x15:pivotRow>
        <x15:pivotRow count="1">
          <x15:c>
            <x15:v>222</x15:v>
          </x15:c>
        </x15:pivotRow>
        <x15:pivotRow count="1">
          <x15:c>
            <x15:v>1200</x15:v>
          </x15:c>
        </x15:pivotRow>
      </x15:pivotTableData>
    </ext>
    <ext xmlns:x15="http://schemas.microsoft.com/office/spreadsheetml/2010/11/main" uri="{E67621CE-5B39-4880-91FE-76760E9C1902}">
      <x15:pivotTableUISetting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4FBD9F-B781-4A86-AD35-9DE3C1DBE82D}" name="PivotTable1" cacheId="3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Price" fld="0" baseField="0" baseItem="0" numFmtId="44"/>
    <dataField name="Distinct Count of OrderID" fld="1" subtotal="count" baseField="0" baseItem="1">
      <extLst>
        <ext xmlns:x15="http://schemas.microsoft.com/office/spreadsheetml/2010/11/main" uri="{FABC7310-3BB5-11E1-824E-6D434824019B}">
          <x15:dataField isCountDistinct="1"/>
        </ext>
      </extLst>
    </dataField>
    <dataField name="Distinct Count of CustomerID" fld="2" subtotal="count" baseField="0" baseItem="2">
      <extLst>
        <ext xmlns:x15="http://schemas.microsoft.com/office/spreadsheetml/2010/11/main" uri="{FABC7310-3BB5-11E1-824E-6D434824019B}">
          <x15:dataField isCountDistinct="1"/>
        </ext>
      </extLst>
    </dataField>
    <dataField name="Sum of Quantity" fld="3" baseField="0" baseItem="0"/>
  </dataFields>
  <formats count="4">
    <format dxfId="7">
      <pivotArea outline="0" collapsedLevelsAreSubtotals="1" fieldPosition="0"/>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s>
  <pivotHierarchies count="2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ID"/>
    <pivotHierarchy dragToData="1"/>
    <pivotHierarchy dragToData="1" caption="Distinct Count of CustomerID"/>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96074-913C-4A21-91FD-84AE99D163D3}" name="PivotTable2" cacheId="32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17"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TotalPrice" fld="1" baseField="0" baseItem="0"/>
  </dataFields>
  <chartFormats count="33">
    <chartFormat chart="2" format="27" series="1">
      <pivotArea type="data" outline="0" fieldPosition="0">
        <references count="2">
          <reference field="4294967294" count="1" selected="0">
            <x v="0"/>
          </reference>
          <reference field="0" count="1" selected="0">
            <x v="0"/>
          </reference>
        </references>
      </pivotArea>
    </chartFormat>
    <chartFormat chart="2" format="28" series="1">
      <pivotArea type="data" outline="0" fieldPosition="0">
        <references count="2">
          <reference field="4294967294" count="1" selected="0">
            <x v="0"/>
          </reference>
          <reference field="0" count="1" selected="0">
            <x v="1"/>
          </reference>
        </references>
      </pivotArea>
    </chartFormat>
    <chartFormat chart="2" format="29" series="1">
      <pivotArea type="data" outline="0" fieldPosition="0">
        <references count="2">
          <reference field="4294967294" count="1" selected="0">
            <x v="0"/>
          </reference>
          <reference field="0" count="1" selected="0">
            <x v="2"/>
          </reference>
        </references>
      </pivotArea>
    </chartFormat>
    <chartFormat chart="2" format="30" series="1">
      <pivotArea type="data" outline="0" fieldPosition="0">
        <references count="2">
          <reference field="4294967294" count="1" selected="0">
            <x v="0"/>
          </reference>
          <reference field="0" count="1" selected="0">
            <x v="3"/>
          </reference>
        </references>
      </pivotArea>
    </chartFormat>
    <chartFormat chart="2" format="31" series="1">
      <pivotArea type="data" outline="0" fieldPosition="0">
        <references count="2">
          <reference field="4294967294" count="1" selected="0">
            <x v="0"/>
          </reference>
          <reference field="0" count="1" selected="0">
            <x v="4"/>
          </reference>
        </references>
      </pivotArea>
    </chartFormat>
    <chartFormat chart="2" format="32" series="1">
      <pivotArea type="data" outline="0" fieldPosition="0">
        <references count="2">
          <reference field="4294967294" count="1" selected="0">
            <x v="0"/>
          </reference>
          <reference field="0" count="1" selected="0">
            <x v="5"/>
          </reference>
        </references>
      </pivotArea>
    </chartFormat>
    <chartFormat chart="2" format="33" series="1">
      <pivotArea type="data" outline="0" fieldPosition="0">
        <references count="2">
          <reference field="4294967294" count="1" selected="0">
            <x v="0"/>
          </reference>
          <reference field="0" count="1" selected="0">
            <x v="6"/>
          </reference>
        </references>
      </pivotArea>
    </chartFormat>
    <chartFormat chart="2" format="34" series="1">
      <pivotArea type="data" outline="0" fieldPosition="0">
        <references count="2">
          <reference field="4294967294" count="1" selected="0">
            <x v="0"/>
          </reference>
          <reference field="0" count="1" selected="0">
            <x v="7"/>
          </reference>
        </references>
      </pivotArea>
    </chartFormat>
    <chartFormat chart="2" format="35" series="1">
      <pivotArea type="data" outline="0" fieldPosition="0">
        <references count="2">
          <reference field="4294967294" count="1" selected="0">
            <x v="0"/>
          </reference>
          <reference field="0" count="1" selected="0">
            <x v="8"/>
          </reference>
        </references>
      </pivotArea>
    </chartFormat>
    <chartFormat chart="2" format="36" series="1">
      <pivotArea type="data" outline="0" fieldPosition="0">
        <references count="2">
          <reference field="4294967294" count="1" selected="0">
            <x v="0"/>
          </reference>
          <reference field="0" count="1" selected="0">
            <x v="9"/>
          </reference>
        </references>
      </pivotArea>
    </chartFormat>
    <chartFormat chart="2" format="37" series="1">
      <pivotArea type="data" outline="0" fieldPosition="0">
        <references count="2">
          <reference field="4294967294" count="1" selected="0">
            <x v="0"/>
          </reference>
          <reference field="0" count="1" selected="0">
            <x v="10"/>
          </reference>
        </references>
      </pivotArea>
    </chartFormat>
    <chartFormat chart="2" format="38" series="1">
      <pivotArea type="data" outline="0" fieldPosition="0">
        <references count="2">
          <reference field="4294967294" count="1" selected="0">
            <x v="0"/>
          </reference>
          <reference field="0" count="1" selected="0">
            <x v="11"/>
          </reference>
        </references>
      </pivotArea>
    </chartFormat>
    <chartFormat chart="2" format="39" series="1">
      <pivotArea type="data" outline="0" fieldPosition="0">
        <references count="3">
          <reference field="4294967294" count="1" selected="0">
            <x v="0"/>
          </reference>
          <reference field="0" count="1" selected="0">
            <x v="4"/>
          </reference>
          <reference field="2" count="1" selected="0">
            <x v="0"/>
          </reference>
        </references>
      </pivotArea>
    </chartFormat>
    <chartFormat chart="2" format="40" series="1">
      <pivotArea type="data" outline="0" fieldPosition="0">
        <references count="3">
          <reference field="4294967294" count="1" selected="0">
            <x v="0"/>
          </reference>
          <reference field="0" count="1" selected="0">
            <x v="4"/>
          </reference>
          <reference field="2" count="1" selected="0">
            <x v="1"/>
          </reference>
        </references>
      </pivotArea>
    </chartFormat>
    <chartFormat chart="2" format="41" series="1">
      <pivotArea type="data" outline="0" fieldPosition="0">
        <references count="3">
          <reference field="4294967294" count="1" selected="0">
            <x v="0"/>
          </reference>
          <reference field="0" count="1" selected="0">
            <x v="4"/>
          </reference>
          <reference field="2" count="1" selected="0">
            <x v="2"/>
          </reference>
        </references>
      </pivotArea>
    </chartFormat>
    <chartFormat chart="2" format="42" series="1">
      <pivotArea type="data" outline="0" fieldPosition="0">
        <references count="3">
          <reference field="4294967294" count="1" selected="0">
            <x v="0"/>
          </reference>
          <reference field="0" count="1" selected="0">
            <x v="5"/>
          </reference>
          <reference field="2" count="1" selected="0">
            <x v="0"/>
          </reference>
        </references>
      </pivotArea>
    </chartFormat>
    <chartFormat chart="2" format="43" series="1">
      <pivotArea type="data" outline="0" fieldPosition="0">
        <references count="3">
          <reference field="4294967294" count="1" selected="0">
            <x v="0"/>
          </reference>
          <reference field="0" count="1" selected="0">
            <x v="5"/>
          </reference>
          <reference field="2" count="1" selected="0">
            <x v="1"/>
          </reference>
        </references>
      </pivotArea>
    </chartFormat>
    <chartFormat chart="2" format="44" series="1">
      <pivotArea type="data" outline="0" fieldPosition="0">
        <references count="3">
          <reference field="4294967294" count="1" selected="0">
            <x v="0"/>
          </reference>
          <reference field="0" count="1" selected="0">
            <x v="5"/>
          </reference>
          <reference field="2" count="1" selected="0">
            <x v="2"/>
          </reference>
        </references>
      </pivotArea>
    </chartFormat>
    <chartFormat chart="2" format="45" series="1">
      <pivotArea type="data" outline="0" fieldPosition="0">
        <references count="3">
          <reference field="4294967294" count="1" selected="0">
            <x v="0"/>
          </reference>
          <reference field="0" count="1" selected="0">
            <x v="6"/>
          </reference>
          <reference field="2" count="1" selected="0">
            <x v="0"/>
          </reference>
        </references>
      </pivotArea>
    </chartFormat>
    <chartFormat chart="2" format="46" series="1">
      <pivotArea type="data" outline="0" fieldPosition="0">
        <references count="3">
          <reference field="4294967294" count="1" selected="0">
            <x v="0"/>
          </reference>
          <reference field="0" count="1" selected="0">
            <x v="6"/>
          </reference>
          <reference field="2" count="1" selected="0">
            <x v="1"/>
          </reference>
        </references>
      </pivotArea>
    </chartFormat>
    <chartFormat chart="2" format="47" series="1">
      <pivotArea type="data" outline="0" fieldPosition="0">
        <references count="3">
          <reference field="4294967294" count="1" selected="0">
            <x v="0"/>
          </reference>
          <reference field="0" count="1" selected="0">
            <x v="7"/>
          </reference>
          <reference field="2" count="1" selected="0">
            <x v="0"/>
          </reference>
        </references>
      </pivotArea>
    </chartFormat>
    <chartFormat chart="2" format="48" series="1">
      <pivotArea type="data" outline="0" fieldPosition="0">
        <references count="3">
          <reference field="4294967294" count="1" selected="0">
            <x v="0"/>
          </reference>
          <reference field="0" count="1" selected="0">
            <x v="7"/>
          </reference>
          <reference field="2" count="1" selected="0">
            <x v="1"/>
          </reference>
        </references>
      </pivotArea>
    </chartFormat>
    <chartFormat chart="2" format="49" series="1">
      <pivotArea type="data" outline="0" fieldPosition="0">
        <references count="3">
          <reference field="4294967294" count="1" selected="0">
            <x v="0"/>
          </reference>
          <reference field="0" count="1" selected="0">
            <x v="8"/>
          </reference>
          <reference field="2" count="1" selected="0">
            <x v="0"/>
          </reference>
        </references>
      </pivotArea>
    </chartFormat>
    <chartFormat chart="2" format="50" series="1">
      <pivotArea type="data" outline="0" fieldPosition="0">
        <references count="3">
          <reference field="4294967294" count="1" selected="0">
            <x v="0"/>
          </reference>
          <reference field="0" count="1" selected="0">
            <x v="8"/>
          </reference>
          <reference field="2" count="1" selected="0">
            <x v="1"/>
          </reference>
        </references>
      </pivotArea>
    </chartFormat>
    <chartFormat chart="2" format="51" series="1">
      <pivotArea type="data" outline="0" fieldPosition="0">
        <references count="3">
          <reference field="4294967294" count="1" selected="0">
            <x v="0"/>
          </reference>
          <reference field="0" count="1" selected="0">
            <x v="9"/>
          </reference>
          <reference field="2" count="1" selected="0">
            <x v="0"/>
          </reference>
        </references>
      </pivotArea>
    </chartFormat>
    <chartFormat chart="2" format="52" series="1">
      <pivotArea type="data" outline="0" fieldPosition="0">
        <references count="3">
          <reference field="4294967294" count="1" selected="0">
            <x v="0"/>
          </reference>
          <reference field="0" count="1" selected="0">
            <x v="9"/>
          </reference>
          <reference field="2" count="1" selected="0">
            <x v="1"/>
          </reference>
        </references>
      </pivotArea>
    </chartFormat>
    <chartFormat chart="2" format="53" series="1">
      <pivotArea type="data" outline="0" fieldPosition="0">
        <references count="3">
          <reference field="4294967294" count="1" selected="0">
            <x v="0"/>
          </reference>
          <reference field="0" count="1" selected="0">
            <x v="10"/>
          </reference>
          <reference field="2" count="1" selected="0">
            <x v="0"/>
          </reference>
        </references>
      </pivotArea>
    </chartFormat>
    <chartFormat chart="2" format="54" series="1">
      <pivotArea type="data" outline="0" fieldPosition="0">
        <references count="3">
          <reference field="4294967294" count="1" selected="0">
            <x v="0"/>
          </reference>
          <reference field="0" count="1" selected="0">
            <x v="10"/>
          </reference>
          <reference field="2" count="1" selected="0">
            <x v="1"/>
          </reference>
        </references>
      </pivotArea>
    </chartFormat>
    <chartFormat chart="2" format="55" series="1">
      <pivotArea type="data" outline="0" fieldPosition="0">
        <references count="3">
          <reference field="4294967294" count="1" selected="0">
            <x v="0"/>
          </reference>
          <reference field="0" count="1" selected="0">
            <x v="11"/>
          </reference>
          <reference field="2" count="1" selected="0">
            <x v="0"/>
          </reference>
        </references>
      </pivotArea>
    </chartFormat>
    <chartFormat chart="2" format="56" series="1">
      <pivotArea type="data" outline="0" fieldPosition="0">
        <references count="3">
          <reference field="4294967294" count="1" selected="0">
            <x v="0"/>
          </reference>
          <reference field="0" count="1" selected="0">
            <x v="11"/>
          </reference>
          <reference field="2" count="1" selected="0">
            <x v="1"/>
          </reference>
        </references>
      </pivotArea>
    </chartFormat>
    <chartFormat chart="2" format="57" series="1">
      <pivotArea type="data" outline="0" fieldPosition="0">
        <references count="2">
          <reference field="4294967294" count="1" selected="0">
            <x v="0"/>
          </reference>
          <reference field="2" count="1" selected="0">
            <x v="0"/>
          </reference>
        </references>
      </pivotArea>
    </chartFormat>
    <chartFormat chart="2" format="58" series="1">
      <pivotArea type="data" outline="0" fieldPosition="0">
        <references count="2">
          <reference field="4294967294" count="1" selected="0">
            <x v="0"/>
          </reference>
          <reference field="2" count="1" selected="0">
            <x v="1"/>
          </reference>
        </references>
      </pivotArea>
    </chartFormat>
    <chartFormat chart="2" format="59" series="1">
      <pivotArea type="data" outline="0" fieldPosition="0">
        <references count="2">
          <reference field="4294967294" count="1" selected="0">
            <x v="0"/>
          </reference>
          <reference field="2" count="1" selected="0">
            <x v="2"/>
          </reference>
        </references>
      </pivotArea>
    </chartFormat>
  </chartFormats>
  <pivotHierarchies count="29">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EDF946-0C48-4555-ADF3-BEE583664E0F}" name="PivotTable3" cacheId="3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2" format="8"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5EF43-6694-4217-83C0-B74A0C768FCB}" name="PivotTable4" cacheId="32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Pric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C6F734-93C7-4AFB-974C-7E22E1C373E4}" name="PivotTable5" cacheId="32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OrderID" fld="1" subtotal="count" baseField="0" baseItem="0">
      <extLst>
        <ext xmlns:x15="http://schemas.microsoft.com/office/spreadsheetml/2010/11/main" uri="{FABC7310-3BB5-11E1-824E-6D434824019B}">
          <x15:dataField isCountDistinct="1"/>
        </ext>
      </extLst>
    </dataField>
  </dataFields>
  <chartFormats count="1">
    <chartFormat chart="6" format="1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608F32-4375-43B2-A419-D15DFC49BA0D}" name="PivotTable7" cacheId="3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TotalPrice"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TotalPrice"/>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EC8BD-ACEE-461D-9580-99CF43B79571}" name="PivotTable8" cacheId="32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9"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7EDA7D-D4F9-4597-B2A1-3582A31B576A}" name="PivotTable9" cacheId="3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Price" fld="1" baseField="0" baseItem="0"/>
  </dataFields>
  <chartFormats count="1">
    <chartFormat chart="9" format="6"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0DFCC9-AD93-4097-95DB-258455AD4037}" name="PivotTable10" cacheId="32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OrderID" fld="1" subtotal="count" baseField="0" baseItem="0"/>
  </dataFields>
  <chartFormats count="1">
    <chartFormat chart="5"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DA5877-83DF-40F9-A020-3DA05A0BE89C}" name="PivotTable12" cacheId="3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Pric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Price"/>
    <pivotHierarchy dragToData="1"/>
    <pivotHierarchy dragToData="1"/>
    <pivotHierarchy dragToData="1"/>
    <pivotHierarchy dragToData="1"/>
    <pivotHierarchy dragToData="1"/>
    <pivotHierarchy dragToData="1"/>
    <pivotHierarchy dragToData="1" caption="Average of TotalPrice"/>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Store-Orders.xlsx!StoreOrders">
        <x15:activeTabTopLevelEntity name="[Stor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77FFDB2-7A3B-4194-90A2-6FF5C1AD955E}" sourceName="[StoreOrders].[Product]">
  <pivotTables>
    <pivotTable tabId="3" name="PivotTable1"/>
    <pivotTable tabId="11" name="PivotTable7"/>
    <pivotTable tabId="9" name="PivotTable5"/>
    <pivotTable tabId="8" name="PivotTable4"/>
    <pivotTable tabId="6" name="PivotTable2"/>
    <pivotTable tabId="14" name="PivotTable10"/>
    <pivotTable tabId="13" name="PivotTable9"/>
    <pivotTable tabId="12" name="PivotTable8"/>
    <pivotTable tabId="15" name="PivotTable12"/>
  </pivotTables>
  <data>
    <olap pivotCacheId="1803549447">
      <levels count="2">
        <level uniqueName="[StoreOrders].[Product].[(All)]" sourceCaption="(All)" count="0"/>
        <level uniqueName="[StoreOrders].[Product].[Product]" sourceCaption="Product" count="7">
          <ranges>
            <range startItem="0">
              <i n="[StoreOrders].[Product].&amp;[Chair]" c="Chair"/>
              <i n="[StoreOrders].[Product].&amp;[Desk]" c="Desk"/>
              <i n="[StoreOrders].[Product].&amp;[Laptop]" c="Laptop"/>
              <i n="[StoreOrders].[Product].&amp;[Monitor]" c="Monitor"/>
              <i n="[StoreOrders].[Product].&amp;[Phone]" c="Phone"/>
              <i n="[StoreOrders].[Product].&amp;[Printer]" c="Printer"/>
              <i n="[StoreOrders].[Product].&amp;[Tablet]" c="Tablet"/>
            </range>
          </ranges>
        </level>
      </levels>
      <selections count="1">
        <selection n="[StoreOrders].[Product].[All]"/>
      </selections>
    </olap>
  </data>
  <extLst>
    <x:ext xmlns:x15="http://schemas.microsoft.com/office/spreadsheetml/2010/11/main" uri="{03082B11-2C62-411c-B77F-237D8FCFBE4C}">
      <x15:slicerCachePivotTables>
        <pivotTable tabId="4294967295" name="PivotChartTable4"/>
        <pivotTable tabId="4294967295" name="PivotChartTable9"/>
        <pivotTable tabId="4294967295" name="PivotChartTable7"/>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8646E8D-73CA-4AD6-8116-CBC14F1F98D8}" sourceName="[StoreOrders].[PaymentMethod]">
  <pivotTables>
    <pivotTable tabId="3" name="PivotTable1"/>
    <pivotTable tabId="9" name="PivotTable5"/>
    <pivotTable tabId="7" name="PivotTable3"/>
    <pivotTable tabId="6" name="PivotTable2"/>
    <pivotTable tabId="12" name="PivotTable8"/>
    <pivotTable tabId="14" name="PivotTable10"/>
    <pivotTable tabId="13" name="PivotTable9"/>
    <pivotTable tabId="15" name="PivotTable12"/>
    <pivotTable tabId="11" name="PivotTable7"/>
    <pivotTable tabId="8" name="PivotTable4"/>
  </pivotTables>
  <data>
    <olap pivotCacheId="1803549447">
      <levels count="2">
        <level uniqueName="[StoreOrders].[PaymentMethod].[(All)]" sourceCaption="(All)" count="0"/>
        <level uniqueName="[StoreOrders].[PaymentMethod].[PaymentMethod]" sourceCaption="PaymentMethod" count="5">
          <ranges>
            <range startItem="0">
              <i n="[StoreOrders].[PaymentMethod].&amp;[Cash]" c="Cash"/>
              <i n="[StoreOrders].[PaymentMethod].&amp;[Credit Card]" c="Credit Card"/>
              <i n="[StoreOrders].[PaymentMethod].&amp;[Debit Card]" c="Debit Card"/>
              <i n="[StoreOrders].[PaymentMethod].&amp;[Gift Card]" c="Gift Card"/>
              <i n="[StoreOrders].[PaymentMethod].&amp;[Online]" c="Online"/>
            </range>
          </ranges>
        </level>
      </levels>
      <selections count="1">
        <selection n="[StoreOrders].[PaymentMethod].[All]"/>
      </selections>
    </olap>
  </data>
  <extLst>
    <x:ext xmlns:x15="http://schemas.microsoft.com/office/spreadsheetml/2010/11/main" uri="{03082B11-2C62-411c-B77F-237D8FCFBE4C}">
      <x15:slicerCachePivotTables>
        <pivotTable tabId="4294967295" name="PivotChartTable4"/>
        <pivotTable tabId="4294967295" name="PivotChartTable9"/>
        <pivotTable tabId="4294967295" name="PivotChartTable7"/>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FF08997-54B6-4579-98AC-257CB5E3BA50}" sourceName="[StoreOrders].[Quantity]">
  <pivotTables>
    <pivotTable tabId="7" name="PivotTable3"/>
    <pivotTable tabId="11" name="PivotTable7"/>
    <pivotTable tabId="3" name="PivotTable1"/>
    <pivotTable tabId="9" name="PivotTable5"/>
    <pivotTable tabId="8" name="PivotTable4"/>
    <pivotTable tabId="6" name="PivotTable2"/>
    <pivotTable tabId="12" name="PivotTable8"/>
  </pivotTables>
  <data>
    <olap pivotCacheId="1803549447">
      <levels count="2">
        <level uniqueName="[StoreOrders].[Quantity].[(All)]" sourceCaption="(All)" count="0"/>
        <level uniqueName="[StoreOrders].[Quantity].[Quantity]" sourceCaption="Quantity" count="5">
          <ranges>
            <range startItem="0">
              <i n="[StoreOrders].[Quantity].&amp;[1]" c="1"/>
              <i n="[StoreOrders].[Quantity].&amp;[2]" c="2"/>
              <i n="[StoreOrders].[Quantity].&amp;[3]" c="3"/>
              <i n="[StoreOrders].[Quantity].&amp;[4]" c="4"/>
              <i n="[StoreOrders].[Quantity].&amp;[5]" c="5"/>
            </range>
          </ranges>
        </level>
      </levels>
      <selections count="1">
        <selection n="[StoreOrders].[Quant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0D79DDF8-A02E-4E17-8142-61BB7DD2798D}" sourceName="[StoreOrders].[CouponCode]">
  <pivotTables>
    <pivotTable tabId="9" name="PivotTable5"/>
    <pivotTable tabId="11" name="PivotTable7"/>
    <pivotTable tabId="3" name="PivotTable1"/>
    <pivotTable tabId="7" name="PivotTable3"/>
    <pivotTable tabId="8" name="PivotTable4"/>
    <pivotTable tabId="13" name="PivotTable9"/>
    <pivotTable tabId="6" name="PivotTable2"/>
    <pivotTable tabId="12" name="PivotTable8"/>
    <pivotTable tabId="15" name="PivotTable12"/>
  </pivotTables>
  <data>
    <olap pivotCacheId="430788710">
      <levels count="2">
        <level uniqueName="[StoreOrders].[CouponCode].[(All)]" sourceCaption="(All)" count="0"/>
        <level uniqueName="[StoreOrders].[CouponCode].[CouponCode]" sourceCaption="CouponCode" count="4">
          <ranges>
            <range startItem="0">
              <i n="[StoreOrders].[CouponCode].&amp;[FREESHIP]" c="FREESHIP"/>
              <i n="[StoreOrders].[CouponCode].&amp;[NIL]" c="NIL"/>
              <i n="[StoreOrders].[CouponCode].&amp;[SAVE10]" c="SAVE10"/>
              <i n="[StoreOrders].[CouponCode].&amp;[WINTER15]" c="WINTER15"/>
            </range>
          </ranges>
        </level>
      </levels>
      <selections count="1">
        <selection n="[StoreOrders].[CouponCode].[All]"/>
      </selections>
    </olap>
  </data>
  <extLst>
    <x:ext xmlns:x15="http://schemas.microsoft.com/office/spreadsheetml/2010/11/main" uri="{03082B11-2C62-411c-B77F-237D8FCFBE4C}">
      <x15:slicerCachePivotTables>
        <pivotTable tabId="4294967295" name="PivotChartTable9"/>
        <pivotTable tabId="4294967295" name="PivotChartTable7"/>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352E6AF1-15E1-4916-A6C4-3C05B5EA7716}" sourceName="[StoreOrders].[OrderStatus]">
  <pivotTables>
    <pivotTable tabId="9" name="PivotTable5"/>
    <pivotTable tabId="12" name="PivotTable8"/>
    <pivotTable tabId="6" name="PivotTable2"/>
    <pivotTable tabId="8" name="PivotTable4"/>
    <pivotTable tabId="7" name="PivotTable3"/>
    <pivotTable tabId="11" name="PivotTable7"/>
    <pivotTable tabId="3" name="PivotTable1"/>
    <pivotTable tabId="14" name="PivotTable10"/>
    <pivotTable tabId="13" name="PivotTable9"/>
    <pivotTable tabId="15" name="PivotTable12"/>
  </pivotTables>
  <data>
    <olap pivotCacheId="430788710">
      <levels count="2">
        <level uniqueName="[StoreOrders].[OrderStatus].[(All)]" sourceCaption="(All)" count="0"/>
        <level uniqueName="[StoreOrders].[OrderStatus].[OrderStatus]" sourceCaption="OrderStatus" count="5">
          <ranges>
            <range startItem="0">
              <i n="[StoreOrders].[OrderStatus].&amp;[Cancelled]" c="Cancelled"/>
              <i n="[StoreOrders].[OrderStatus].&amp;[Delivered]" c="Delivered"/>
              <i n="[StoreOrders].[OrderStatus].&amp;[Pending]" c="Pending"/>
              <i n="[StoreOrders].[OrderStatus].&amp;[Returned]" c="Returned"/>
              <i n="[StoreOrders].[OrderStatus].&amp;[Shipped]" c="Shipped"/>
            </range>
          </ranges>
        </level>
      </levels>
      <selections count="1">
        <selection n="[StoreOrders].[OrderStatus].[All]"/>
      </selections>
    </olap>
  </data>
  <extLst>
    <x:ext xmlns:x15="http://schemas.microsoft.com/office/spreadsheetml/2010/11/main" uri="{03082B11-2C62-411c-B77F-237D8FCFBE4C}">
      <x15:slicerCachePivotTables>
        <pivotTable tabId="4294967295" name="PivotChartTable4"/>
        <pivotTable tabId="4294967295" name="PivotChartTable9"/>
        <pivotTable tabId="4294967295" name="PivotChartTable7"/>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CAA4285F-7B72-42FC-8691-F07D61FD7159}" sourceName="[StoreOrders].[ReferralSource]">
  <pivotTables>
    <pivotTable tabId="9" name="PivotTable5"/>
    <pivotTable tabId="11" name="PivotTable7"/>
    <pivotTable tabId="14" name="PivotTable10"/>
    <pivotTable tabId="3" name="PivotTable1"/>
    <pivotTable tabId="7" name="PivotTable3"/>
    <pivotTable tabId="8" name="PivotTable4"/>
    <pivotTable tabId="6" name="PivotTable2"/>
    <pivotTable tabId="12" name="PivotTable8"/>
    <pivotTable tabId="15" name="PivotTable12"/>
  </pivotTables>
  <data>
    <olap pivotCacheId="430788710">
      <levels count="2">
        <level uniqueName="[StoreOrders].[ReferralSource].[(All)]" sourceCaption="(All)" count="0"/>
        <level uniqueName="[StoreOrders].[ReferralSource].[ReferralSource]" sourceCaption="ReferralSource" count="5">
          <ranges>
            <range startItem="0">
              <i n="[StoreOrders].[ReferralSource].&amp;[Email]" c="Email"/>
              <i n="[StoreOrders].[ReferralSource].&amp;[Facebook]" c="Facebook"/>
              <i n="[StoreOrders].[ReferralSource].&amp;[Google]" c="Google"/>
              <i n="[StoreOrders].[ReferralSource].&amp;[Instagram]" c="Instagram"/>
              <i n="[StoreOrders].[ReferralSource].&amp;[Referral]" c="Referral"/>
            </range>
          </ranges>
        </level>
      </levels>
      <selections count="1">
        <selection n="[StoreOrders].[ReferralSource].[All]"/>
      </selections>
    </olap>
  </data>
  <extLst>
    <x:ext xmlns:x15="http://schemas.microsoft.com/office/spreadsheetml/2010/11/main" uri="{03082B11-2C62-411c-B77F-237D8FCFBE4C}">
      <x15:slicerCachePivotTables>
        <pivotTable tabId="4294967295" name="PivotChartTable4"/>
        <pivotTable tabId="4294967295" name="PivotChartTable7"/>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376FD42-ABCE-4E4A-836A-D93DD41FAFE6}" cache="Slicer_Product" caption="Product" columnCount="2" level="1" style="SlicerStyleLight6" rowHeight="365760"/>
  <slicer name="PaymentMethod" xr10:uid="{89CAA674-A24E-4260-9243-AF341CB6E2A2}" cache="Slicer_PaymentMethod" caption="PaymentMethod" level="1" style="SlicerStyleLight6" rowHeight="241300"/>
  <slicer name="Quantity" xr10:uid="{0E070753-CB2D-4006-817A-3AA94823142F}" cache="Slicer_Quantity" caption="Quantity" level="1" style="SlicerStyleLight6" rowHeight="241300"/>
  <slicer name="OrderStatus" xr10:uid="{08AB1732-84BD-412F-992F-E97D5FF35521}" cache="Slicer_OrderStatus1" caption="OrderStatus"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51146A9-4418-4ACC-A8A9-CCA0A4DBF915}" cache="Slicer_Product" caption="Product" level="1" style="SlicerStyleLight6" rowHeight="241300"/>
  <slicer name="PaymentMethod 1" xr10:uid="{45C6515B-9E2A-4CED-ACC5-7F3CEEE9D2DB}" cache="Slicer_PaymentMethod" caption="PaymentMethod" level="1" style="SlicerStyleLight6" rowHeight="241300"/>
  <slicer name="CouponCode" xr10:uid="{15114089-7435-42A7-BB95-24B586C3AE51}" cache="Slicer_CouponCode" caption="CouponCode" level="1" style="SlicerStyleLight6" rowHeight="241300"/>
  <slicer name="OrderStatus 1" xr10:uid="{78578272-8844-4F14-AB0A-591F5C37459B}" cache="Slicer_OrderStatus1" caption="OrderStatus" level="1" style="SlicerStyleLight6" rowHeight="241300"/>
  <slicer name="ReferralSource" xr10:uid="{E0C87BE0-877E-42E1-BABD-7BD134B4578A}" cache="Slicer_ReferralSource" caption="ReferralSource"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0214B1-4BDC-49D1-A42A-7A4ED2719511}" name="StoreOrders" displayName="StoreOrders" ref="A1:N1201" totalsRowShown="0" headerRowDxfId="3" headerRowBorderDxfId="2" tableBorderDxfId="1">
  <autoFilter ref="A1:N1201" xr:uid="{F10214B1-4BDC-49D1-A42A-7A4ED2719511}"/>
  <tableColumns count="14">
    <tableColumn id="1" xr3:uid="{0F8ADE7A-6097-4A0B-8C37-D461445624E5}" name="OrderID"/>
    <tableColumn id="2" xr3:uid="{90869977-0F77-4926-9511-B9B3603C037A}" name="Date" dataDxfId="0"/>
    <tableColumn id="3" xr3:uid="{AB10CCB9-F518-426D-9A8F-860AF0D4F3A9}" name="CustomerID"/>
    <tableColumn id="4" xr3:uid="{66CFFD83-B779-4A8F-BC32-B378237C17EC}" name="Product"/>
    <tableColumn id="5" xr3:uid="{2BA03D2B-A775-4641-B413-8E6C01C59981}" name="Quantity"/>
    <tableColumn id="6" xr3:uid="{45E4ADF1-84E2-4399-AB8C-FBA662142BB2}" name="UnitPrice"/>
    <tableColumn id="7" xr3:uid="{46AB5835-2CD6-4397-9EA4-87E0BBC5A27D}" name="ShippingAddress"/>
    <tableColumn id="8" xr3:uid="{051DED7A-0538-4A95-AE13-A997589A2F3E}" name="PaymentMethod"/>
    <tableColumn id="9" xr3:uid="{E7035F8F-4D9F-4A7E-8281-0EDEF82B8FE4}" name="OrderStatus"/>
    <tableColumn id="10" xr3:uid="{B8B192B6-2189-4088-A9E5-27946BC2F25D}" name="TrackingNumber"/>
    <tableColumn id="11" xr3:uid="{E417D03E-E854-4F99-851B-823C56CA39AD}" name="ItemsInCart"/>
    <tableColumn id="12" xr3:uid="{9290794F-C679-4000-A656-EF1F59C2C5D6}" name="CouponCode"/>
    <tableColumn id="13" xr3:uid="{9703104D-6E3D-4DD4-911F-91FB3C599B48}" name="ReferralSource"/>
    <tableColumn id="14" xr3:uid="{6BEFF1F5-AA12-4F8D-AFE8-CA527008DCAD}"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G4" sqref="G4"/>
    </sheetView>
  </sheetViews>
  <sheetFormatPr defaultRowHeight="15"/>
  <cols>
    <col min="1" max="1" width="10.85546875" bestFit="1" customWidth="1"/>
    <col min="2" max="2" width="10.42578125" bestFit="1" customWidth="1"/>
    <col min="3" max="3" width="11.42578125" bestFit="1" customWidth="1"/>
    <col min="4" max="4" width="8.140625" bestFit="1" customWidth="1"/>
    <col min="5" max="5" width="8.7109375" bestFit="1"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42578125" bestFit="1" customWidth="1"/>
    <col min="13" max="13" width="14.28515625" bestFit="1" customWidth="1"/>
    <col min="14" max="14" width="9.8554687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44930</v>
      </c>
      <c r="C2" t="s">
        <v>1214</v>
      </c>
      <c r="D2" t="s">
        <v>2403</v>
      </c>
      <c r="E2">
        <v>5</v>
      </c>
      <c r="F2">
        <v>570.62</v>
      </c>
      <c r="G2" t="s">
        <v>2410</v>
      </c>
      <c r="H2" t="s">
        <v>3065</v>
      </c>
      <c r="I2" t="s">
        <v>3070</v>
      </c>
      <c r="J2" t="s">
        <v>3075</v>
      </c>
      <c r="K2">
        <v>7</v>
      </c>
      <c r="L2" t="s">
        <v>4275</v>
      </c>
      <c r="M2" t="s">
        <v>4278</v>
      </c>
      <c r="N2">
        <v>2853.1</v>
      </c>
    </row>
    <row r="3" spans="1:14">
      <c r="A3" t="s">
        <v>15</v>
      </c>
      <c r="B3" s="2">
        <v>45527</v>
      </c>
      <c r="C3" t="s">
        <v>1215</v>
      </c>
      <c r="D3" t="s">
        <v>2404</v>
      </c>
      <c r="E3">
        <v>2</v>
      </c>
      <c r="F3">
        <v>151.35</v>
      </c>
      <c r="G3" t="s">
        <v>2411</v>
      </c>
      <c r="H3" t="s">
        <v>3066</v>
      </c>
      <c r="I3" t="s">
        <v>3070</v>
      </c>
      <c r="J3" t="s">
        <v>3076</v>
      </c>
      <c r="K3">
        <v>3</v>
      </c>
      <c r="L3" t="s">
        <v>4275</v>
      </c>
      <c r="M3" t="s">
        <v>4279</v>
      </c>
      <c r="N3">
        <v>302.7</v>
      </c>
    </row>
    <row r="4" spans="1:14">
      <c r="A4" t="s">
        <v>16</v>
      </c>
      <c r="B4" s="2">
        <v>45349</v>
      </c>
      <c r="C4" t="s">
        <v>1216</v>
      </c>
      <c r="D4" t="s">
        <v>2405</v>
      </c>
      <c r="E4">
        <v>5</v>
      </c>
      <c r="F4">
        <v>550.67999999999995</v>
      </c>
      <c r="G4" t="s">
        <v>2412</v>
      </c>
      <c r="H4" t="s">
        <v>3067</v>
      </c>
      <c r="I4" t="s">
        <v>3071</v>
      </c>
      <c r="J4" t="s">
        <v>3077</v>
      </c>
      <c r="K4">
        <v>8</v>
      </c>
      <c r="L4" t="s">
        <v>4276</v>
      </c>
      <c r="M4" t="s">
        <v>4280</v>
      </c>
      <c r="N4">
        <v>2753.4</v>
      </c>
    </row>
    <row r="5" spans="1:14">
      <c r="A5" t="s">
        <v>17</v>
      </c>
      <c r="B5" s="2">
        <v>45214</v>
      </c>
      <c r="C5" t="s">
        <v>1217</v>
      </c>
      <c r="D5" t="s">
        <v>2406</v>
      </c>
      <c r="E5">
        <v>1</v>
      </c>
      <c r="F5">
        <v>273.19</v>
      </c>
      <c r="G5" t="s">
        <v>2413</v>
      </c>
      <c r="H5" t="s">
        <v>3065</v>
      </c>
      <c r="I5" t="s">
        <v>3072</v>
      </c>
      <c r="J5" t="s">
        <v>3078</v>
      </c>
      <c r="K5">
        <v>5</v>
      </c>
      <c r="L5" t="s">
        <v>4275</v>
      </c>
      <c r="M5" t="s">
        <v>4281</v>
      </c>
      <c r="N5">
        <v>273.19</v>
      </c>
    </row>
    <row r="6" spans="1:14">
      <c r="A6" t="s">
        <v>18</v>
      </c>
      <c r="B6" s="2">
        <v>45785</v>
      </c>
      <c r="C6" t="s">
        <v>1218</v>
      </c>
      <c r="D6" t="s">
        <v>2407</v>
      </c>
      <c r="E6">
        <v>4</v>
      </c>
      <c r="F6">
        <v>626.01</v>
      </c>
      <c r="G6" t="s">
        <v>2414</v>
      </c>
      <c r="H6" t="s">
        <v>3066</v>
      </c>
      <c r="I6" t="s">
        <v>3073</v>
      </c>
      <c r="J6" t="s">
        <v>3079</v>
      </c>
      <c r="K6">
        <v>8</v>
      </c>
      <c r="L6" t="s">
        <v>4275</v>
      </c>
      <c r="M6" t="s">
        <v>4280</v>
      </c>
      <c r="N6">
        <v>2504.04</v>
      </c>
    </row>
    <row r="7" spans="1:14">
      <c r="A7" t="s">
        <v>19</v>
      </c>
      <c r="B7" s="2">
        <v>45222</v>
      </c>
      <c r="C7" t="s">
        <v>1219</v>
      </c>
      <c r="D7" t="s">
        <v>2404</v>
      </c>
      <c r="E7">
        <v>2</v>
      </c>
      <c r="F7">
        <v>245.86</v>
      </c>
      <c r="G7" t="s">
        <v>2415</v>
      </c>
      <c r="H7" t="s">
        <v>3067</v>
      </c>
      <c r="I7" t="s">
        <v>3070</v>
      </c>
      <c r="J7" t="s">
        <v>3080</v>
      </c>
      <c r="K7">
        <v>4</v>
      </c>
      <c r="L7" t="s">
        <v>4275</v>
      </c>
      <c r="M7" t="s">
        <v>4278</v>
      </c>
      <c r="N7">
        <v>491.72</v>
      </c>
    </row>
    <row r="8" spans="1:14">
      <c r="A8" t="s">
        <v>20</v>
      </c>
      <c r="B8" s="2">
        <v>45825</v>
      </c>
      <c r="C8" t="s">
        <v>1220</v>
      </c>
      <c r="D8" t="s">
        <v>2408</v>
      </c>
      <c r="E8">
        <v>1</v>
      </c>
      <c r="F8">
        <v>664.42</v>
      </c>
      <c r="G8" t="s">
        <v>2416</v>
      </c>
      <c r="H8" t="s">
        <v>3068</v>
      </c>
      <c r="I8" t="s">
        <v>3072</v>
      </c>
      <c r="J8" t="s">
        <v>3081</v>
      </c>
      <c r="K8">
        <v>6</v>
      </c>
      <c r="L8" t="s">
        <v>4275</v>
      </c>
      <c r="M8" t="s">
        <v>4281</v>
      </c>
      <c r="N8">
        <v>664.42</v>
      </c>
    </row>
    <row r="9" spans="1:14">
      <c r="A9" t="s">
        <v>21</v>
      </c>
      <c r="B9" s="2">
        <v>45058</v>
      </c>
      <c r="C9" t="s">
        <v>1221</v>
      </c>
      <c r="D9" t="s">
        <v>2403</v>
      </c>
      <c r="E9">
        <v>5</v>
      </c>
      <c r="F9">
        <v>149.55000000000001</v>
      </c>
      <c r="G9" t="s">
        <v>2417</v>
      </c>
      <c r="H9" t="s">
        <v>3069</v>
      </c>
      <c r="I9" t="s">
        <v>3070</v>
      </c>
      <c r="J9" t="s">
        <v>3082</v>
      </c>
      <c r="K9">
        <v>9</v>
      </c>
      <c r="L9" t="s">
        <v>4276</v>
      </c>
      <c r="M9" t="s">
        <v>4281</v>
      </c>
      <c r="N9">
        <v>747.75</v>
      </c>
    </row>
    <row r="10" spans="1:14">
      <c r="A10" t="s">
        <v>22</v>
      </c>
      <c r="B10" s="2">
        <v>45749</v>
      </c>
      <c r="C10" t="s">
        <v>1222</v>
      </c>
      <c r="D10" t="s">
        <v>2404</v>
      </c>
      <c r="E10">
        <v>2</v>
      </c>
      <c r="F10">
        <v>134.28</v>
      </c>
      <c r="G10" t="s">
        <v>2418</v>
      </c>
      <c r="H10" t="s">
        <v>3068</v>
      </c>
      <c r="I10" t="s">
        <v>3071</v>
      </c>
      <c r="J10" t="s">
        <v>3083</v>
      </c>
      <c r="K10">
        <v>2</v>
      </c>
      <c r="M10" t="s">
        <v>4280</v>
      </c>
      <c r="N10">
        <v>268.56</v>
      </c>
    </row>
    <row r="11" spans="1:14">
      <c r="A11" t="s">
        <v>23</v>
      </c>
      <c r="B11" s="2">
        <v>45251</v>
      </c>
      <c r="C11" t="s">
        <v>1223</v>
      </c>
      <c r="D11" t="s">
        <v>2409</v>
      </c>
      <c r="E11">
        <v>4</v>
      </c>
      <c r="F11">
        <v>509.38</v>
      </c>
      <c r="G11" t="s">
        <v>2419</v>
      </c>
      <c r="H11" t="s">
        <v>3067</v>
      </c>
      <c r="I11" t="s">
        <v>3070</v>
      </c>
      <c r="J11" t="s">
        <v>3084</v>
      </c>
      <c r="K11">
        <v>6</v>
      </c>
      <c r="L11" t="s">
        <v>4275</v>
      </c>
      <c r="M11" t="s">
        <v>4282</v>
      </c>
      <c r="N11">
        <v>2037.52</v>
      </c>
    </row>
    <row r="12" spans="1:14">
      <c r="A12" t="s">
        <v>24</v>
      </c>
      <c r="B12" s="2">
        <v>45289</v>
      </c>
      <c r="C12" t="s">
        <v>1224</v>
      </c>
      <c r="D12" t="s">
        <v>2405</v>
      </c>
      <c r="E12">
        <v>5</v>
      </c>
      <c r="F12">
        <v>625.97</v>
      </c>
      <c r="G12" t="s">
        <v>2420</v>
      </c>
      <c r="H12" t="s">
        <v>3067</v>
      </c>
      <c r="I12" t="s">
        <v>3072</v>
      </c>
      <c r="J12" t="s">
        <v>3085</v>
      </c>
      <c r="K12">
        <v>9</v>
      </c>
      <c r="L12" t="s">
        <v>4277</v>
      </c>
      <c r="M12" t="s">
        <v>4278</v>
      </c>
      <c r="N12">
        <v>3129.85</v>
      </c>
    </row>
    <row r="13" spans="1:14">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c r="A14" t="s">
        <v>26</v>
      </c>
      <c r="B14" s="2">
        <v>45580</v>
      </c>
      <c r="C14" t="s">
        <v>1226</v>
      </c>
      <c r="D14" t="s">
        <v>2403</v>
      </c>
      <c r="E14">
        <v>2</v>
      </c>
      <c r="F14">
        <v>180.5</v>
      </c>
      <c r="G14" t="s">
        <v>2422</v>
      </c>
      <c r="H14" t="s">
        <v>3065</v>
      </c>
      <c r="I14" t="s">
        <v>3074</v>
      </c>
      <c r="J14" t="s">
        <v>3087</v>
      </c>
      <c r="K14">
        <v>6</v>
      </c>
      <c r="L14" t="s">
        <v>4276</v>
      </c>
      <c r="M14" t="s">
        <v>4279</v>
      </c>
      <c r="N14">
        <v>361</v>
      </c>
    </row>
    <row r="15" spans="1:14">
      <c r="A15" t="s">
        <v>27</v>
      </c>
      <c r="B15" s="2">
        <v>45168</v>
      </c>
      <c r="C15" t="s">
        <v>1227</v>
      </c>
      <c r="D15" t="s">
        <v>2408</v>
      </c>
      <c r="E15">
        <v>3</v>
      </c>
      <c r="F15">
        <v>201.49</v>
      </c>
      <c r="G15" t="s">
        <v>2423</v>
      </c>
      <c r="H15" t="s">
        <v>3067</v>
      </c>
      <c r="I15" t="s">
        <v>3072</v>
      </c>
      <c r="J15" t="s">
        <v>3088</v>
      </c>
      <c r="K15">
        <v>4</v>
      </c>
      <c r="L15" t="s">
        <v>4276</v>
      </c>
      <c r="M15" t="s">
        <v>4281</v>
      </c>
      <c r="N15">
        <v>604.47</v>
      </c>
    </row>
    <row r="16" spans="1:14">
      <c r="A16" t="s">
        <v>28</v>
      </c>
      <c r="B16" s="2">
        <v>45012</v>
      </c>
      <c r="C16" t="s">
        <v>1228</v>
      </c>
      <c r="D16" t="s">
        <v>2405</v>
      </c>
      <c r="E16">
        <v>2</v>
      </c>
      <c r="F16">
        <v>393.33</v>
      </c>
      <c r="G16" t="s">
        <v>2424</v>
      </c>
      <c r="H16" t="s">
        <v>3065</v>
      </c>
      <c r="I16" t="s">
        <v>3074</v>
      </c>
      <c r="J16" t="s">
        <v>3089</v>
      </c>
      <c r="K16">
        <v>3</v>
      </c>
      <c r="L16" t="s">
        <v>4275</v>
      </c>
      <c r="M16" t="s">
        <v>4278</v>
      </c>
      <c r="N16">
        <v>786.66</v>
      </c>
    </row>
    <row r="17" spans="1:14">
      <c r="A17" t="s">
        <v>29</v>
      </c>
      <c r="B17" s="2">
        <v>45124</v>
      </c>
      <c r="C17" t="s">
        <v>1229</v>
      </c>
      <c r="D17" t="s">
        <v>2407</v>
      </c>
      <c r="E17">
        <v>1</v>
      </c>
      <c r="F17">
        <v>473.96</v>
      </c>
      <c r="G17" t="s">
        <v>2425</v>
      </c>
      <c r="H17" t="s">
        <v>3069</v>
      </c>
      <c r="I17" t="s">
        <v>3073</v>
      </c>
      <c r="J17" t="s">
        <v>3090</v>
      </c>
      <c r="K17">
        <v>3</v>
      </c>
      <c r="M17" t="s">
        <v>4282</v>
      </c>
      <c r="N17">
        <v>473.96</v>
      </c>
    </row>
    <row r="18" spans="1:14">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c r="A19" t="s">
        <v>31</v>
      </c>
      <c r="B19" s="2">
        <v>45353</v>
      </c>
      <c r="C19" t="s">
        <v>1231</v>
      </c>
      <c r="D19" t="s">
        <v>2405</v>
      </c>
      <c r="E19">
        <v>1</v>
      </c>
      <c r="F19">
        <v>423.4</v>
      </c>
      <c r="G19" t="s">
        <v>2427</v>
      </c>
      <c r="H19" t="s">
        <v>3065</v>
      </c>
      <c r="I19" t="s">
        <v>3070</v>
      </c>
      <c r="J19" t="s">
        <v>3092</v>
      </c>
      <c r="K19">
        <v>3</v>
      </c>
      <c r="M19" t="s">
        <v>4279</v>
      </c>
      <c r="N19">
        <v>423.4</v>
      </c>
    </row>
    <row r="20" spans="1:14">
      <c r="A20" t="s">
        <v>32</v>
      </c>
      <c r="B20" s="2">
        <v>45742</v>
      </c>
      <c r="C20" t="s">
        <v>1232</v>
      </c>
      <c r="D20" t="s">
        <v>2409</v>
      </c>
      <c r="E20">
        <v>1</v>
      </c>
      <c r="F20">
        <v>431.44</v>
      </c>
      <c r="G20" t="s">
        <v>2428</v>
      </c>
      <c r="H20" t="s">
        <v>3068</v>
      </c>
      <c r="I20" t="s">
        <v>3074</v>
      </c>
      <c r="J20" t="s">
        <v>3093</v>
      </c>
      <c r="K20">
        <v>3</v>
      </c>
      <c r="L20" t="s">
        <v>4275</v>
      </c>
      <c r="M20" t="s">
        <v>4281</v>
      </c>
      <c r="N20">
        <v>431.44</v>
      </c>
    </row>
    <row r="21" spans="1:14">
      <c r="A21" t="s">
        <v>33</v>
      </c>
      <c r="B21" s="2">
        <v>44949</v>
      </c>
      <c r="C21" t="s">
        <v>1233</v>
      </c>
      <c r="D21" t="s">
        <v>2403</v>
      </c>
      <c r="E21">
        <v>5</v>
      </c>
      <c r="F21">
        <v>224</v>
      </c>
      <c r="G21" t="s">
        <v>2429</v>
      </c>
      <c r="H21" t="s">
        <v>3069</v>
      </c>
      <c r="I21" t="s">
        <v>3072</v>
      </c>
      <c r="J21" t="s">
        <v>3094</v>
      </c>
      <c r="K21">
        <v>9</v>
      </c>
      <c r="L21" t="s">
        <v>4275</v>
      </c>
      <c r="M21" t="s">
        <v>4282</v>
      </c>
      <c r="N21">
        <v>1120</v>
      </c>
    </row>
    <row r="22" spans="1:14">
      <c r="A22" t="s">
        <v>34</v>
      </c>
      <c r="B22" s="2">
        <v>45054</v>
      </c>
      <c r="C22" t="s">
        <v>1234</v>
      </c>
      <c r="D22" t="s">
        <v>2406</v>
      </c>
      <c r="E22">
        <v>5</v>
      </c>
      <c r="F22">
        <v>62.51</v>
      </c>
      <c r="G22" t="s">
        <v>2430</v>
      </c>
      <c r="H22" t="s">
        <v>3069</v>
      </c>
      <c r="I22" t="s">
        <v>3074</v>
      </c>
      <c r="J22" t="s">
        <v>3095</v>
      </c>
      <c r="K22">
        <v>9</v>
      </c>
      <c r="L22" t="s">
        <v>4277</v>
      </c>
      <c r="M22" t="s">
        <v>4278</v>
      </c>
      <c r="N22">
        <v>312.55</v>
      </c>
    </row>
    <row r="23" spans="1:14">
      <c r="A23" t="s">
        <v>35</v>
      </c>
      <c r="B23" s="2">
        <v>45613</v>
      </c>
      <c r="C23" t="s">
        <v>1235</v>
      </c>
      <c r="D23" t="s">
        <v>2403</v>
      </c>
      <c r="E23">
        <v>4</v>
      </c>
      <c r="F23">
        <v>342.95</v>
      </c>
      <c r="G23" t="s">
        <v>2431</v>
      </c>
      <c r="H23" t="s">
        <v>3069</v>
      </c>
      <c r="I23" t="s">
        <v>3073</v>
      </c>
      <c r="J23" t="s">
        <v>3096</v>
      </c>
      <c r="K23">
        <v>6</v>
      </c>
      <c r="M23" t="s">
        <v>4282</v>
      </c>
      <c r="N23">
        <v>1371.8</v>
      </c>
    </row>
    <row r="24" spans="1:14">
      <c r="A24" t="s">
        <v>36</v>
      </c>
      <c r="B24" s="2">
        <v>44955</v>
      </c>
      <c r="C24" t="s">
        <v>1236</v>
      </c>
      <c r="D24" t="s">
        <v>2403</v>
      </c>
      <c r="E24">
        <v>2</v>
      </c>
      <c r="F24">
        <v>49.62</v>
      </c>
      <c r="G24" t="s">
        <v>2432</v>
      </c>
      <c r="H24" t="s">
        <v>3066</v>
      </c>
      <c r="I24" t="s">
        <v>3074</v>
      </c>
      <c r="J24" t="s">
        <v>3097</v>
      </c>
      <c r="K24">
        <v>2</v>
      </c>
      <c r="L24" t="s">
        <v>4275</v>
      </c>
      <c r="M24" t="s">
        <v>4282</v>
      </c>
      <c r="N24">
        <v>99.24</v>
      </c>
    </row>
    <row r="25" spans="1:14">
      <c r="A25" t="s">
        <v>37</v>
      </c>
      <c r="B25" s="2">
        <v>45756</v>
      </c>
      <c r="C25" t="s">
        <v>1237</v>
      </c>
      <c r="D25" t="s">
        <v>2404</v>
      </c>
      <c r="E25">
        <v>4</v>
      </c>
      <c r="F25">
        <v>273.25</v>
      </c>
      <c r="G25" t="s">
        <v>2433</v>
      </c>
      <c r="H25" t="s">
        <v>3065</v>
      </c>
      <c r="I25" t="s">
        <v>3071</v>
      </c>
      <c r="J25" t="s">
        <v>3098</v>
      </c>
      <c r="K25">
        <v>5</v>
      </c>
      <c r="L25" t="s">
        <v>4276</v>
      </c>
      <c r="M25" t="s">
        <v>4279</v>
      </c>
      <c r="N25">
        <v>1093</v>
      </c>
    </row>
    <row r="26" spans="1:14">
      <c r="A26" t="s">
        <v>38</v>
      </c>
      <c r="B26" s="2">
        <v>45595</v>
      </c>
      <c r="C26" t="s">
        <v>1238</v>
      </c>
      <c r="D26" t="s">
        <v>2408</v>
      </c>
      <c r="E26">
        <v>2</v>
      </c>
      <c r="F26">
        <v>230.95</v>
      </c>
      <c r="G26" t="s">
        <v>2434</v>
      </c>
      <c r="H26" t="s">
        <v>3066</v>
      </c>
      <c r="I26" t="s">
        <v>3073</v>
      </c>
      <c r="J26" t="s">
        <v>3099</v>
      </c>
      <c r="K26">
        <v>3</v>
      </c>
      <c r="L26" t="s">
        <v>4277</v>
      </c>
      <c r="M26" t="s">
        <v>4279</v>
      </c>
      <c r="N26">
        <v>461.9</v>
      </c>
    </row>
    <row r="27" spans="1:14">
      <c r="A27" t="s">
        <v>39</v>
      </c>
      <c r="B27" s="2">
        <v>45497</v>
      </c>
      <c r="C27" t="s">
        <v>1239</v>
      </c>
      <c r="D27" t="s">
        <v>2403</v>
      </c>
      <c r="E27">
        <v>1</v>
      </c>
      <c r="F27">
        <v>399.98</v>
      </c>
      <c r="G27" t="s">
        <v>2435</v>
      </c>
      <c r="H27" t="s">
        <v>3065</v>
      </c>
      <c r="I27" t="s">
        <v>3073</v>
      </c>
      <c r="J27" t="s">
        <v>3100</v>
      </c>
      <c r="K27">
        <v>3</v>
      </c>
      <c r="L27" t="s">
        <v>4277</v>
      </c>
      <c r="M27" t="s">
        <v>4280</v>
      </c>
      <c r="N27">
        <v>399.98</v>
      </c>
    </row>
    <row r="28" spans="1:14">
      <c r="A28" t="s">
        <v>40</v>
      </c>
      <c r="B28" s="2">
        <v>45357</v>
      </c>
      <c r="C28" t="s">
        <v>1240</v>
      </c>
      <c r="D28" t="s">
        <v>2408</v>
      </c>
      <c r="E28">
        <v>5</v>
      </c>
      <c r="F28">
        <v>59.55</v>
      </c>
      <c r="G28" t="s">
        <v>2436</v>
      </c>
      <c r="H28" t="s">
        <v>3066</v>
      </c>
      <c r="I28" t="s">
        <v>3073</v>
      </c>
      <c r="J28" t="s">
        <v>3101</v>
      </c>
      <c r="K28">
        <v>6</v>
      </c>
      <c r="M28" t="s">
        <v>4279</v>
      </c>
      <c r="N28">
        <v>297.75</v>
      </c>
    </row>
    <row r="29" spans="1:14">
      <c r="A29" t="s">
        <v>41</v>
      </c>
      <c r="B29" s="2">
        <v>45344</v>
      </c>
      <c r="C29" t="s">
        <v>1241</v>
      </c>
      <c r="D29" t="s">
        <v>2407</v>
      </c>
      <c r="E29">
        <v>1</v>
      </c>
      <c r="F29">
        <v>472.74</v>
      </c>
      <c r="G29" t="s">
        <v>2437</v>
      </c>
      <c r="H29" t="s">
        <v>3066</v>
      </c>
      <c r="I29" t="s">
        <v>3070</v>
      </c>
      <c r="J29" t="s">
        <v>3102</v>
      </c>
      <c r="K29">
        <v>6</v>
      </c>
      <c r="L29" t="s">
        <v>4277</v>
      </c>
      <c r="M29" t="s">
        <v>4282</v>
      </c>
      <c r="N29">
        <v>472.74</v>
      </c>
    </row>
    <row r="30" spans="1:14">
      <c r="A30" t="s">
        <v>42</v>
      </c>
      <c r="B30" s="2">
        <v>45251</v>
      </c>
      <c r="C30" t="s">
        <v>1242</v>
      </c>
      <c r="D30" t="s">
        <v>2404</v>
      </c>
      <c r="E30">
        <v>4</v>
      </c>
      <c r="F30">
        <v>160.07</v>
      </c>
      <c r="G30" t="s">
        <v>2438</v>
      </c>
      <c r="H30" t="s">
        <v>3066</v>
      </c>
      <c r="I30" t="s">
        <v>3074</v>
      </c>
      <c r="J30" t="s">
        <v>3103</v>
      </c>
      <c r="K30">
        <v>5</v>
      </c>
      <c r="M30" t="s">
        <v>4280</v>
      </c>
      <c r="N30">
        <v>640.28</v>
      </c>
    </row>
    <row r="31" spans="1:14">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c r="A32" t="s">
        <v>44</v>
      </c>
      <c r="B32" s="2">
        <v>45738</v>
      </c>
      <c r="C32" t="s">
        <v>1244</v>
      </c>
      <c r="D32" t="s">
        <v>2403</v>
      </c>
      <c r="E32">
        <v>2</v>
      </c>
      <c r="F32">
        <v>426.7</v>
      </c>
      <c r="G32" t="s">
        <v>2440</v>
      </c>
      <c r="H32" t="s">
        <v>3066</v>
      </c>
      <c r="I32" t="s">
        <v>3074</v>
      </c>
      <c r="J32" t="s">
        <v>3105</v>
      </c>
      <c r="K32">
        <v>5</v>
      </c>
      <c r="L32" t="s">
        <v>4275</v>
      </c>
      <c r="M32" t="s">
        <v>4279</v>
      </c>
      <c r="N32">
        <v>853.4</v>
      </c>
    </row>
    <row r="33" spans="1:14">
      <c r="A33" t="s">
        <v>45</v>
      </c>
      <c r="B33" s="2">
        <v>45107</v>
      </c>
      <c r="C33" t="s">
        <v>1245</v>
      </c>
      <c r="D33" t="s">
        <v>2406</v>
      </c>
      <c r="E33">
        <v>3</v>
      </c>
      <c r="F33">
        <v>500.08</v>
      </c>
      <c r="G33" t="s">
        <v>2441</v>
      </c>
      <c r="H33" t="s">
        <v>3065</v>
      </c>
      <c r="I33" t="s">
        <v>3072</v>
      </c>
      <c r="J33" t="s">
        <v>3106</v>
      </c>
      <c r="K33">
        <v>6</v>
      </c>
      <c r="M33" t="s">
        <v>4281</v>
      </c>
      <c r="N33">
        <v>1500.24</v>
      </c>
    </row>
    <row r="34" spans="1:14">
      <c r="A34" t="s">
        <v>46</v>
      </c>
      <c r="B34" s="2">
        <v>45047</v>
      </c>
      <c r="C34" t="s">
        <v>1246</v>
      </c>
      <c r="D34" t="s">
        <v>2405</v>
      </c>
      <c r="E34">
        <v>5</v>
      </c>
      <c r="F34">
        <v>536.72</v>
      </c>
      <c r="G34" t="s">
        <v>2442</v>
      </c>
      <c r="H34" t="s">
        <v>3069</v>
      </c>
      <c r="I34" t="s">
        <v>3073</v>
      </c>
      <c r="J34" t="s">
        <v>3107</v>
      </c>
      <c r="K34">
        <v>10</v>
      </c>
      <c r="M34" t="s">
        <v>4280</v>
      </c>
      <c r="N34">
        <v>2683.6</v>
      </c>
    </row>
    <row r="35" spans="1:14">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c r="A36" t="s">
        <v>48</v>
      </c>
      <c r="B36" s="2">
        <v>44933</v>
      </c>
      <c r="C36" t="s">
        <v>1248</v>
      </c>
      <c r="D36" t="s">
        <v>2406</v>
      </c>
      <c r="E36">
        <v>4</v>
      </c>
      <c r="F36">
        <v>576.52</v>
      </c>
      <c r="G36" t="s">
        <v>2444</v>
      </c>
      <c r="H36" t="s">
        <v>3067</v>
      </c>
      <c r="I36" t="s">
        <v>3074</v>
      </c>
      <c r="J36" t="s">
        <v>3109</v>
      </c>
      <c r="K36">
        <v>5</v>
      </c>
      <c r="L36" t="s">
        <v>4277</v>
      </c>
      <c r="M36" t="s">
        <v>4281</v>
      </c>
      <c r="N36">
        <v>2306.08</v>
      </c>
    </row>
    <row r="37" spans="1:14">
      <c r="A37" t="s">
        <v>49</v>
      </c>
      <c r="B37" s="2">
        <v>45633</v>
      </c>
      <c r="C37" t="s">
        <v>1249</v>
      </c>
      <c r="D37" t="s">
        <v>2403</v>
      </c>
      <c r="E37">
        <v>2</v>
      </c>
      <c r="F37">
        <v>465.15</v>
      </c>
      <c r="G37" t="s">
        <v>2445</v>
      </c>
      <c r="H37" t="s">
        <v>3066</v>
      </c>
      <c r="I37" t="s">
        <v>3070</v>
      </c>
      <c r="J37" t="s">
        <v>3110</v>
      </c>
      <c r="K37">
        <v>2</v>
      </c>
      <c r="L37" t="s">
        <v>4275</v>
      </c>
      <c r="M37" t="s">
        <v>4281</v>
      </c>
      <c r="N37">
        <v>930.3</v>
      </c>
    </row>
    <row r="38" spans="1:14">
      <c r="A38" t="s">
        <v>50</v>
      </c>
      <c r="B38" s="2">
        <v>45785</v>
      </c>
      <c r="C38" t="s">
        <v>1250</v>
      </c>
      <c r="D38" t="s">
        <v>2408</v>
      </c>
      <c r="E38">
        <v>2</v>
      </c>
      <c r="F38">
        <v>534.42999999999995</v>
      </c>
      <c r="G38" t="s">
        <v>2446</v>
      </c>
      <c r="H38" t="s">
        <v>3065</v>
      </c>
      <c r="I38" t="s">
        <v>3074</v>
      </c>
      <c r="J38" t="s">
        <v>3111</v>
      </c>
      <c r="K38">
        <v>5</v>
      </c>
      <c r="M38" t="s">
        <v>4281</v>
      </c>
      <c r="N38">
        <v>1068.8599999999999</v>
      </c>
    </row>
    <row r="39" spans="1:14">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c r="A40" t="s">
        <v>52</v>
      </c>
      <c r="B40" s="2">
        <v>45645</v>
      </c>
      <c r="C40" t="s">
        <v>1252</v>
      </c>
      <c r="D40" t="s">
        <v>2408</v>
      </c>
      <c r="E40">
        <v>1</v>
      </c>
      <c r="F40">
        <v>245.89</v>
      </c>
      <c r="G40" t="s">
        <v>2448</v>
      </c>
      <c r="H40" t="s">
        <v>3065</v>
      </c>
      <c r="I40" t="s">
        <v>3073</v>
      </c>
      <c r="J40" t="s">
        <v>3113</v>
      </c>
      <c r="K40">
        <v>3</v>
      </c>
      <c r="L40" t="s">
        <v>4275</v>
      </c>
      <c r="M40" t="s">
        <v>4282</v>
      </c>
      <c r="N40">
        <v>245.89</v>
      </c>
    </row>
    <row r="41" spans="1:14">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c r="A42" t="s">
        <v>54</v>
      </c>
      <c r="B42" s="2">
        <v>45158</v>
      </c>
      <c r="C42" t="s">
        <v>1254</v>
      </c>
      <c r="D42" t="s">
        <v>2409</v>
      </c>
      <c r="E42">
        <v>2</v>
      </c>
      <c r="F42">
        <v>344.02</v>
      </c>
      <c r="G42" t="s">
        <v>2450</v>
      </c>
      <c r="H42" t="s">
        <v>3066</v>
      </c>
      <c r="I42" t="s">
        <v>3073</v>
      </c>
      <c r="J42" t="s">
        <v>3115</v>
      </c>
      <c r="K42">
        <v>4</v>
      </c>
      <c r="L42" t="s">
        <v>4276</v>
      </c>
      <c r="M42" t="s">
        <v>4278</v>
      </c>
      <c r="N42">
        <v>688.04</v>
      </c>
    </row>
    <row r="43" spans="1:14">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c r="A44" t="s">
        <v>56</v>
      </c>
      <c r="B44" s="2">
        <v>45418</v>
      </c>
      <c r="C44" t="s">
        <v>1256</v>
      </c>
      <c r="D44" t="s">
        <v>2407</v>
      </c>
      <c r="E44">
        <v>2</v>
      </c>
      <c r="F44">
        <v>151.66</v>
      </c>
      <c r="G44" t="s">
        <v>2424</v>
      </c>
      <c r="H44" t="s">
        <v>3069</v>
      </c>
      <c r="I44" t="s">
        <v>3071</v>
      </c>
      <c r="J44" t="s">
        <v>3117</v>
      </c>
      <c r="K44">
        <v>6</v>
      </c>
      <c r="M44" t="s">
        <v>4278</v>
      </c>
      <c r="N44">
        <v>303.32</v>
      </c>
    </row>
    <row r="45" spans="1:14">
      <c r="A45" t="s">
        <v>57</v>
      </c>
      <c r="B45" s="2">
        <v>45274</v>
      </c>
      <c r="C45" t="s">
        <v>1257</v>
      </c>
      <c r="D45" t="s">
        <v>2406</v>
      </c>
      <c r="E45">
        <v>3</v>
      </c>
      <c r="F45">
        <v>499.21</v>
      </c>
      <c r="G45" t="s">
        <v>2452</v>
      </c>
      <c r="H45" t="s">
        <v>3066</v>
      </c>
      <c r="I45" t="s">
        <v>3071</v>
      </c>
      <c r="J45" t="s">
        <v>3118</v>
      </c>
      <c r="K45">
        <v>8</v>
      </c>
      <c r="M45" t="s">
        <v>4278</v>
      </c>
      <c r="N45">
        <v>1497.63</v>
      </c>
    </row>
    <row r="46" spans="1:14">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c r="A47" t="s">
        <v>59</v>
      </c>
      <c r="B47" s="2">
        <v>45332</v>
      </c>
      <c r="C47" t="s">
        <v>1259</v>
      </c>
      <c r="D47" t="s">
        <v>2406</v>
      </c>
      <c r="E47">
        <v>1</v>
      </c>
      <c r="F47">
        <v>317.25</v>
      </c>
      <c r="G47" t="s">
        <v>2453</v>
      </c>
      <c r="H47" t="s">
        <v>3065</v>
      </c>
      <c r="I47" t="s">
        <v>3072</v>
      </c>
      <c r="J47" t="s">
        <v>3120</v>
      </c>
      <c r="K47">
        <v>1</v>
      </c>
      <c r="L47" t="s">
        <v>4275</v>
      </c>
      <c r="M47" t="s">
        <v>4281</v>
      </c>
      <c r="N47">
        <v>317.25</v>
      </c>
    </row>
    <row r="48" spans="1:14">
      <c r="A48" t="s">
        <v>60</v>
      </c>
      <c r="B48" s="2">
        <v>45469</v>
      </c>
      <c r="C48" t="s">
        <v>1260</v>
      </c>
      <c r="D48" t="s">
        <v>2403</v>
      </c>
      <c r="E48">
        <v>4</v>
      </c>
      <c r="F48">
        <v>550.14</v>
      </c>
      <c r="G48" t="s">
        <v>2454</v>
      </c>
      <c r="H48" t="s">
        <v>3065</v>
      </c>
      <c r="I48" t="s">
        <v>3074</v>
      </c>
      <c r="J48" t="s">
        <v>3121</v>
      </c>
      <c r="K48">
        <v>4</v>
      </c>
      <c r="L48" t="s">
        <v>4276</v>
      </c>
      <c r="M48" t="s">
        <v>4278</v>
      </c>
      <c r="N48">
        <v>2200.56</v>
      </c>
    </row>
    <row r="49" spans="1:14">
      <c r="A49" t="s">
        <v>61</v>
      </c>
      <c r="B49" s="2">
        <v>45126</v>
      </c>
      <c r="C49" t="s">
        <v>1261</v>
      </c>
      <c r="D49" t="s">
        <v>2409</v>
      </c>
      <c r="E49">
        <v>2</v>
      </c>
      <c r="F49">
        <v>209.94</v>
      </c>
      <c r="G49" t="s">
        <v>2455</v>
      </c>
      <c r="H49" t="s">
        <v>3067</v>
      </c>
      <c r="I49" t="s">
        <v>3072</v>
      </c>
      <c r="J49" t="s">
        <v>3122</v>
      </c>
      <c r="K49">
        <v>3</v>
      </c>
      <c r="L49" t="s">
        <v>4276</v>
      </c>
      <c r="M49" t="s">
        <v>4280</v>
      </c>
      <c r="N49">
        <v>419.88</v>
      </c>
    </row>
    <row r="50" spans="1:14">
      <c r="A50" t="s">
        <v>62</v>
      </c>
      <c r="B50" s="2">
        <v>45164</v>
      </c>
      <c r="C50" t="s">
        <v>1262</v>
      </c>
      <c r="D50" t="s">
        <v>2403</v>
      </c>
      <c r="E50">
        <v>2</v>
      </c>
      <c r="F50">
        <v>80.77</v>
      </c>
      <c r="G50" t="s">
        <v>2456</v>
      </c>
      <c r="H50" t="s">
        <v>3065</v>
      </c>
      <c r="I50" t="s">
        <v>3070</v>
      </c>
      <c r="J50" t="s">
        <v>3123</v>
      </c>
      <c r="K50">
        <v>4</v>
      </c>
      <c r="M50" t="s">
        <v>4282</v>
      </c>
      <c r="N50">
        <v>161.54</v>
      </c>
    </row>
    <row r="51" spans="1:14">
      <c r="A51" t="s">
        <v>63</v>
      </c>
      <c r="B51" s="2">
        <v>45206</v>
      </c>
      <c r="C51" t="s">
        <v>1263</v>
      </c>
      <c r="D51" t="s">
        <v>2407</v>
      </c>
      <c r="E51">
        <v>1</v>
      </c>
      <c r="F51">
        <v>30.44</v>
      </c>
      <c r="G51" t="s">
        <v>2432</v>
      </c>
      <c r="H51" t="s">
        <v>3067</v>
      </c>
      <c r="I51" t="s">
        <v>3070</v>
      </c>
      <c r="J51" t="s">
        <v>3124</v>
      </c>
      <c r="K51">
        <v>1</v>
      </c>
      <c r="L51" t="s">
        <v>4275</v>
      </c>
      <c r="M51" t="s">
        <v>4280</v>
      </c>
      <c r="N51">
        <v>30.44</v>
      </c>
    </row>
    <row r="52" spans="1:14">
      <c r="A52" t="s">
        <v>64</v>
      </c>
      <c r="B52" s="2">
        <v>45138</v>
      </c>
      <c r="C52" t="s">
        <v>1264</v>
      </c>
      <c r="D52" t="s">
        <v>2405</v>
      </c>
      <c r="E52">
        <v>1</v>
      </c>
      <c r="F52">
        <v>179.22</v>
      </c>
      <c r="G52" t="s">
        <v>2457</v>
      </c>
      <c r="H52" t="s">
        <v>3066</v>
      </c>
      <c r="I52" t="s">
        <v>3071</v>
      </c>
      <c r="J52" t="s">
        <v>3125</v>
      </c>
      <c r="K52">
        <v>6</v>
      </c>
      <c r="L52" t="s">
        <v>4276</v>
      </c>
      <c r="M52" t="s">
        <v>4278</v>
      </c>
      <c r="N52">
        <v>179.22</v>
      </c>
    </row>
    <row r="53" spans="1:14">
      <c r="A53" t="s">
        <v>65</v>
      </c>
      <c r="B53" s="2">
        <v>45656</v>
      </c>
      <c r="C53" t="s">
        <v>1265</v>
      </c>
      <c r="D53" t="s">
        <v>2405</v>
      </c>
      <c r="E53">
        <v>1</v>
      </c>
      <c r="F53">
        <v>388.33</v>
      </c>
      <c r="G53" t="s">
        <v>2458</v>
      </c>
      <c r="H53" t="s">
        <v>3069</v>
      </c>
      <c r="I53" t="s">
        <v>3072</v>
      </c>
      <c r="J53" t="s">
        <v>3126</v>
      </c>
      <c r="K53">
        <v>2</v>
      </c>
      <c r="L53" t="s">
        <v>4275</v>
      </c>
      <c r="M53" t="s">
        <v>4281</v>
      </c>
      <c r="N53">
        <v>388.33</v>
      </c>
    </row>
    <row r="54" spans="1:14">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c r="A55" t="s">
        <v>67</v>
      </c>
      <c r="B55" s="2">
        <v>45430</v>
      </c>
      <c r="C55" t="s">
        <v>1267</v>
      </c>
      <c r="D55" t="s">
        <v>2404</v>
      </c>
      <c r="E55">
        <v>4</v>
      </c>
      <c r="F55">
        <v>488.78</v>
      </c>
      <c r="G55" t="s">
        <v>2412</v>
      </c>
      <c r="H55" t="s">
        <v>3066</v>
      </c>
      <c r="I55" t="s">
        <v>3072</v>
      </c>
      <c r="J55" t="s">
        <v>3128</v>
      </c>
      <c r="K55">
        <v>5</v>
      </c>
      <c r="L55" t="s">
        <v>4276</v>
      </c>
      <c r="M55" t="s">
        <v>4282</v>
      </c>
      <c r="N55">
        <v>1955.12</v>
      </c>
    </row>
    <row r="56" spans="1:14">
      <c r="A56" t="s">
        <v>68</v>
      </c>
      <c r="B56" s="2">
        <v>45743</v>
      </c>
      <c r="C56" t="s">
        <v>1268</v>
      </c>
      <c r="D56" t="s">
        <v>2406</v>
      </c>
      <c r="E56">
        <v>1</v>
      </c>
      <c r="F56">
        <v>280.25</v>
      </c>
      <c r="G56" t="s">
        <v>2460</v>
      </c>
      <c r="H56" t="s">
        <v>3066</v>
      </c>
      <c r="I56" t="s">
        <v>3074</v>
      </c>
      <c r="J56" t="s">
        <v>3129</v>
      </c>
      <c r="K56">
        <v>5</v>
      </c>
      <c r="L56" t="s">
        <v>4277</v>
      </c>
      <c r="M56" t="s">
        <v>4280</v>
      </c>
      <c r="N56">
        <v>280.25</v>
      </c>
    </row>
    <row r="57" spans="1:14">
      <c r="A57" t="s">
        <v>69</v>
      </c>
      <c r="B57" s="2">
        <v>45832</v>
      </c>
      <c r="C57" t="s">
        <v>1269</v>
      </c>
      <c r="D57" t="s">
        <v>2407</v>
      </c>
      <c r="E57">
        <v>3</v>
      </c>
      <c r="F57">
        <v>344.4</v>
      </c>
      <c r="G57" t="s">
        <v>2461</v>
      </c>
      <c r="H57" t="s">
        <v>3066</v>
      </c>
      <c r="I57" t="s">
        <v>3071</v>
      </c>
      <c r="J57" t="s">
        <v>3130</v>
      </c>
      <c r="K57">
        <v>3</v>
      </c>
      <c r="M57" t="s">
        <v>4281</v>
      </c>
      <c r="N57">
        <v>1033.2</v>
      </c>
    </row>
    <row r="58" spans="1:14">
      <c r="A58" t="s">
        <v>70</v>
      </c>
      <c r="B58" s="2">
        <v>45067</v>
      </c>
      <c r="C58" t="s">
        <v>1270</v>
      </c>
      <c r="D58" t="s">
        <v>2405</v>
      </c>
      <c r="E58">
        <v>3</v>
      </c>
      <c r="F58">
        <v>479.21</v>
      </c>
      <c r="G58" t="s">
        <v>2462</v>
      </c>
      <c r="H58" t="s">
        <v>3069</v>
      </c>
      <c r="I58" t="s">
        <v>3071</v>
      </c>
      <c r="J58" t="s">
        <v>3131</v>
      </c>
      <c r="K58">
        <v>5</v>
      </c>
      <c r="L58" t="s">
        <v>4277</v>
      </c>
      <c r="M58" t="s">
        <v>4279</v>
      </c>
      <c r="N58">
        <v>1437.63</v>
      </c>
    </row>
    <row r="59" spans="1:14">
      <c r="A59" t="s">
        <v>71</v>
      </c>
      <c r="B59" s="2">
        <v>44948</v>
      </c>
      <c r="C59" t="s">
        <v>1271</v>
      </c>
      <c r="D59" t="s">
        <v>2407</v>
      </c>
      <c r="E59">
        <v>5</v>
      </c>
      <c r="F59">
        <v>314.27</v>
      </c>
      <c r="G59" t="s">
        <v>2463</v>
      </c>
      <c r="H59" t="s">
        <v>3069</v>
      </c>
      <c r="I59" t="s">
        <v>3072</v>
      </c>
      <c r="J59" t="s">
        <v>3132</v>
      </c>
      <c r="K59">
        <v>6</v>
      </c>
      <c r="L59" t="s">
        <v>4275</v>
      </c>
      <c r="M59" t="s">
        <v>4278</v>
      </c>
      <c r="N59">
        <v>1571.35</v>
      </c>
    </row>
    <row r="60" spans="1:14">
      <c r="A60" t="s">
        <v>72</v>
      </c>
      <c r="B60" s="2">
        <v>44941</v>
      </c>
      <c r="C60" t="s">
        <v>1272</v>
      </c>
      <c r="D60" t="s">
        <v>2404</v>
      </c>
      <c r="E60">
        <v>4</v>
      </c>
      <c r="F60">
        <v>474.69</v>
      </c>
      <c r="G60" t="s">
        <v>2464</v>
      </c>
      <c r="H60" t="s">
        <v>3068</v>
      </c>
      <c r="I60" t="s">
        <v>3071</v>
      </c>
      <c r="J60" t="s">
        <v>3133</v>
      </c>
      <c r="K60">
        <v>6</v>
      </c>
      <c r="L60" t="s">
        <v>4275</v>
      </c>
      <c r="M60" t="s">
        <v>4282</v>
      </c>
      <c r="N60">
        <v>1898.76</v>
      </c>
    </row>
    <row r="61" spans="1:14">
      <c r="A61" t="s">
        <v>73</v>
      </c>
      <c r="B61" s="2">
        <v>45546</v>
      </c>
      <c r="C61" t="s">
        <v>1273</v>
      </c>
      <c r="D61" t="s">
        <v>2406</v>
      </c>
      <c r="E61">
        <v>4</v>
      </c>
      <c r="F61">
        <v>593.27</v>
      </c>
      <c r="G61" t="s">
        <v>2465</v>
      </c>
      <c r="H61" t="s">
        <v>3066</v>
      </c>
      <c r="I61" t="s">
        <v>3070</v>
      </c>
      <c r="J61" t="s">
        <v>3134</v>
      </c>
      <c r="K61">
        <v>5</v>
      </c>
      <c r="M61" t="s">
        <v>4281</v>
      </c>
      <c r="N61">
        <v>2373.08</v>
      </c>
    </row>
    <row r="62" spans="1:14">
      <c r="A62" t="s">
        <v>74</v>
      </c>
      <c r="B62" s="2">
        <v>45525</v>
      </c>
      <c r="C62" t="s">
        <v>1274</v>
      </c>
      <c r="D62" t="s">
        <v>2409</v>
      </c>
      <c r="E62">
        <v>1</v>
      </c>
      <c r="F62">
        <v>417.1</v>
      </c>
      <c r="G62" t="s">
        <v>2466</v>
      </c>
      <c r="H62" t="s">
        <v>3065</v>
      </c>
      <c r="I62" t="s">
        <v>3072</v>
      </c>
      <c r="J62" t="s">
        <v>3135</v>
      </c>
      <c r="K62">
        <v>3</v>
      </c>
      <c r="L62" t="s">
        <v>4276</v>
      </c>
      <c r="M62" t="s">
        <v>4279</v>
      </c>
      <c r="N62">
        <v>417.1</v>
      </c>
    </row>
    <row r="63" spans="1:14">
      <c r="A63" t="s">
        <v>75</v>
      </c>
      <c r="B63" s="2">
        <v>45375</v>
      </c>
      <c r="C63" t="s">
        <v>1275</v>
      </c>
      <c r="D63" t="s">
        <v>2409</v>
      </c>
      <c r="E63">
        <v>4</v>
      </c>
      <c r="F63">
        <v>122.2</v>
      </c>
      <c r="G63" t="s">
        <v>2467</v>
      </c>
      <c r="H63" t="s">
        <v>3069</v>
      </c>
      <c r="I63" t="s">
        <v>3073</v>
      </c>
      <c r="J63" t="s">
        <v>3136</v>
      </c>
      <c r="K63">
        <v>7</v>
      </c>
      <c r="L63" t="s">
        <v>4276</v>
      </c>
      <c r="M63" t="s">
        <v>4281</v>
      </c>
      <c r="N63">
        <v>488.8</v>
      </c>
    </row>
    <row r="64" spans="1:14">
      <c r="A64" t="s">
        <v>76</v>
      </c>
      <c r="B64" s="2">
        <v>45160</v>
      </c>
      <c r="C64" t="s">
        <v>1276</v>
      </c>
      <c r="D64" t="s">
        <v>2409</v>
      </c>
      <c r="E64">
        <v>2</v>
      </c>
      <c r="F64">
        <v>43.15</v>
      </c>
      <c r="G64" t="s">
        <v>2468</v>
      </c>
      <c r="H64" t="s">
        <v>3065</v>
      </c>
      <c r="I64" t="s">
        <v>3074</v>
      </c>
      <c r="J64" t="s">
        <v>3137</v>
      </c>
      <c r="K64">
        <v>3</v>
      </c>
      <c r="L64" t="s">
        <v>4277</v>
      </c>
      <c r="M64" t="s">
        <v>4280</v>
      </c>
      <c r="N64">
        <v>86.3</v>
      </c>
    </row>
    <row r="65" spans="1:14">
      <c r="A65" t="s">
        <v>77</v>
      </c>
      <c r="B65" s="2">
        <v>45690</v>
      </c>
      <c r="C65" t="s">
        <v>1277</v>
      </c>
      <c r="D65" t="s">
        <v>2406</v>
      </c>
      <c r="E65">
        <v>1</v>
      </c>
      <c r="F65">
        <v>564.86</v>
      </c>
      <c r="G65" t="s">
        <v>2469</v>
      </c>
      <c r="H65" t="s">
        <v>3065</v>
      </c>
      <c r="I65" t="s">
        <v>3070</v>
      </c>
      <c r="J65" t="s">
        <v>3138</v>
      </c>
      <c r="K65">
        <v>6</v>
      </c>
      <c r="L65" t="s">
        <v>4277</v>
      </c>
      <c r="M65" t="s">
        <v>4279</v>
      </c>
      <c r="N65">
        <v>564.86</v>
      </c>
    </row>
    <row r="66" spans="1:14">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c r="A67" t="s">
        <v>79</v>
      </c>
      <c r="B67" s="2">
        <v>45290</v>
      </c>
      <c r="C67" t="s">
        <v>1279</v>
      </c>
      <c r="D67" t="s">
        <v>2403</v>
      </c>
      <c r="E67">
        <v>5</v>
      </c>
      <c r="F67">
        <v>81.7</v>
      </c>
      <c r="G67" t="s">
        <v>2471</v>
      </c>
      <c r="H67" t="s">
        <v>3067</v>
      </c>
      <c r="I67" t="s">
        <v>3073</v>
      </c>
      <c r="J67" t="s">
        <v>3140</v>
      </c>
      <c r="K67">
        <v>6</v>
      </c>
      <c r="M67" t="s">
        <v>4278</v>
      </c>
      <c r="N67">
        <v>408.5</v>
      </c>
    </row>
    <row r="68" spans="1:14">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c r="A69" t="s">
        <v>81</v>
      </c>
      <c r="B69" s="2">
        <v>45635</v>
      </c>
      <c r="C69" t="s">
        <v>1281</v>
      </c>
      <c r="D69" t="s">
        <v>2407</v>
      </c>
      <c r="E69">
        <v>4</v>
      </c>
      <c r="F69">
        <v>12.1</v>
      </c>
      <c r="G69" t="s">
        <v>2473</v>
      </c>
      <c r="H69" t="s">
        <v>3065</v>
      </c>
      <c r="I69" t="s">
        <v>3071</v>
      </c>
      <c r="J69" t="s">
        <v>3142</v>
      </c>
      <c r="K69">
        <v>8</v>
      </c>
      <c r="M69" t="s">
        <v>4282</v>
      </c>
      <c r="N69">
        <v>48.4</v>
      </c>
    </row>
    <row r="70" spans="1:14">
      <c r="A70" t="s">
        <v>82</v>
      </c>
      <c r="B70" s="2">
        <v>45271</v>
      </c>
      <c r="C70" t="s">
        <v>1282</v>
      </c>
      <c r="D70" t="s">
        <v>2406</v>
      </c>
      <c r="E70">
        <v>3</v>
      </c>
      <c r="F70">
        <v>490.92</v>
      </c>
      <c r="G70" t="s">
        <v>2435</v>
      </c>
      <c r="H70" t="s">
        <v>3067</v>
      </c>
      <c r="I70" t="s">
        <v>3074</v>
      </c>
      <c r="J70" t="s">
        <v>3143</v>
      </c>
      <c r="K70">
        <v>5</v>
      </c>
      <c r="L70" t="s">
        <v>4276</v>
      </c>
      <c r="M70" t="s">
        <v>4280</v>
      </c>
      <c r="N70">
        <v>1472.76</v>
      </c>
    </row>
    <row r="71" spans="1:14">
      <c r="A71" t="s">
        <v>83</v>
      </c>
      <c r="B71" s="2">
        <v>45057</v>
      </c>
      <c r="C71" t="s">
        <v>1283</v>
      </c>
      <c r="D71" t="s">
        <v>2403</v>
      </c>
      <c r="E71">
        <v>3</v>
      </c>
      <c r="F71">
        <v>478.65</v>
      </c>
      <c r="G71" t="s">
        <v>2474</v>
      </c>
      <c r="H71" t="s">
        <v>3066</v>
      </c>
      <c r="I71" t="s">
        <v>3070</v>
      </c>
      <c r="J71" t="s">
        <v>3144</v>
      </c>
      <c r="K71">
        <v>4</v>
      </c>
      <c r="M71" t="s">
        <v>4279</v>
      </c>
      <c r="N71">
        <v>1435.95</v>
      </c>
    </row>
    <row r="72" spans="1:14">
      <c r="A72" t="s">
        <v>84</v>
      </c>
      <c r="B72" s="2">
        <v>45072</v>
      </c>
      <c r="C72" t="s">
        <v>1284</v>
      </c>
      <c r="D72" t="s">
        <v>2409</v>
      </c>
      <c r="E72">
        <v>1</v>
      </c>
      <c r="F72">
        <v>629.21</v>
      </c>
      <c r="G72" t="s">
        <v>2475</v>
      </c>
      <c r="H72" t="s">
        <v>3068</v>
      </c>
      <c r="I72" t="s">
        <v>3074</v>
      </c>
      <c r="J72" t="s">
        <v>3145</v>
      </c>
      <c r="K72">
        <v>2</v>
      </c>
      <c r="L72" t="s">
        <v>4276</v>
      </c>
      <c r="M72" t="s">
        <v>4278</v>
      </c>
      <c r="N72">
        <v>629.21</v>
      </c>
    </row>
    <row r="73" spans="1:14">
      <c r="A73" t="s">
        <v>85</v>
      </c>
      <c r="B73" s="2">
        <v>45818</v>
      </c>
      <c r="C73" t="s">
        <v>1285</v>
      </c>
      <c r="D73" t="s">
        <v>2403</v>
      </c>
      <c r="E73">
        <v>3</v>
      </c>
      <c r="F73">
        <v>434.45</v>
      </c>
      <c r="G73" t="s">
        <v>2476</v>
      </c>
      <c r="H73" t="s">
        <v>3067</v>
      </c>
      <c r="I73" t="s">
        <v>3074</v>
      </c>
      <c r="J73" t="s">
        <v>3146</v>
      </c>
      <c r="K73">
        <v>4</v>
      </c>
      <c r="M73" t="s">
        <v>4279</v>
      </c>
      <c r="N73">
        <v>1303.3499999999999</v>
      </c>
    </row>
    <row r="74" spans="1:14">
      <c r="A74" t="s">
        <v>86</v>
      </c>
      <c r="B74" s="2">
        <v>45648</v>
      </c>
      <c r="C74" t="s">
        <v>1286</v>
      </c>
      <c r="D74" t="s">
        <v>2405</v>
      </c>
      <c r="E74">
        <v>4</v>
      </c>
      <c r="F74">
        <v>589.44000000000005</v>
      </c>
      <c r="G74" t="s">
        <v>2425</v>
      </c>
      <c r="H74" t="s">
        <v>3068</v>
      </c>
      <c r="I74" t="s">
        <v>3072</v>
      </c>
      <c r="J74" t="s">
        <v>3147</v>
      </c>
      <c r="K74">
        <v>5</v>
      </c>
      <c r="M74" t="s">
        <v>4281</v>
      </c>
      <c r="N74">
        <v>2357.7600000000002</v>
      </c>
    </row>
    <row r="75" spans="1:14">
      <c r="A75" t="s">
        <v>87</v>
      </c>
      <c r="B75" s="2">
        <v>45049</v>
      </c>
      <c r="C75" t="s">
        <v>1287</v>
      </c>
      <c r="D75" t="s">
        <v>2403</v>
      </c>
      <c r="E75">
        <v>4</v>
      </c>
      <c r="F75">
        <v>433.45</v>
      </c>
      <c r="G75" t="s">
        <v>2477</v>
      </c>
      <c r="H75" t="s">
        <v>3068</v>
      </c>
      <c r="I75" t="s">
        <v>3071</v>
      </c>
      <c r="J75" t="s">
        <v>3148</v>
      </c>
      <c r="K75">
        <v>4</v>
      </c>
      <c r="M75" t="s">
        <v>4281</v>
      </c>
      <c r="N75">
        <v>1733.8</v>
      </c>
    </row>
    <row r="76" spans="1:14">
      <c r="A76" t="s">
        <v>88</v>
      </c>
      <c r="B76" s="2">
        <v>45101</v>
      </c>
      <c r="C76" t="s">
        <v>1288</v>
      </c>
      <c r="D76" t="s">
        <v>2404</v>
      </c>
      <c r="E76">
        <v>5</v>
      </c>
      <c r="F76">
        <v>90.87</v>
      </c>
      <c r="G76" t="s">
        <v>2478</v>
      </c>
      <c r="H76" t="s">
        <v>3069</v>
      </c>
      <c r="I76" t="s">
        <v>3074</v>
      </c>
      <c r="J76" t="s">
        <v>3149</v>
      </c>
      <c r="K76">
        <v>5</v>
      </c>
      <c r="M76" t="s">
        <v>4278</v>
      </c>
      <c r="N76">
        <v>454.35</v>
      </c>
    </row>
    <row r="77" spans="1:14">
      <c r="A77" t="s">
        <v>89</v>
      </c>
      <c r="B77" s="2">
        <v>45195</v>
      </c>
      <c r="C77" t="s">
        <v>1289</v>
      </c>
      <c r="D77" t="s">
        <v>2405</v>
      </c>
      <c r="E77">
        <v>3</v>
      </c>
      <c r="F77">
        <v>398.17</v>
      </c>
      <c r="G77" t="s">
        <v>2479</v>
      </c>
      <c r="H77" t="s">
        <v>3065</v>
      </c>
      <c r="I77" t="s">
        <v>3073</v>
      </c>
      <c r="J77" t="s">
        <v>3150</v>
      </c>
      <c r="K77">
        <v>5</v>
      </c>
      <c r="L77" t="s">
        <v>4275</v>
      </c>
      <c r="M77" t="s">
        <v>4280</v>
      </c>
      <c r="N77">
        <v>1194.51</v>
      </c>
    </row>
    <row r="78" spans="1:14">
      <c r="A78" t="s">
        <v>90</v>
      </c>
      <c r="B78" s="2">
        <v>45382</v>
      </c>
      <c r="C78" t="s">
        <v>1290</v>
      </c>
      <c r="D78" t="s">
        <v>2408</v>
      </c>
      <c r="E78">
        <v>4</v>
      </c>
      <c r="F78">
        <v>382.88</v>
      </c>
      <c r="G78" t="s">
        <v>2480</v>
      </c>
      <c r="H78" t="s">
        <v>3069</v>
      </c>
      <c r="I78" t="s">
        <v>3071</v>
      </c>
      <c r="J78" t="s">
        <v>3151</v>
      </c>
      <c r="K78">
        <v>6</v>
      </c>
      <c r="L78" t="s">
        <v>4277</v>
      </c>
      <c r="M78" t="s">
        <v>4280</v>
      </c>
      <c r="N78">
        <v>1531.52</v>
      </c>
    </row>
    <row r="79" spans="1:14">
      <c r="A79" t="s">
        <v>91</v>
      </c>
      <c r="B79" s="2">
        <v>45436</v>
      </c>
      <c r="C79" t="s">
        <v>1291</v>
      </c>
      <c r="D79" t="s">
        <v>2404</v>
      </c>
      <c r="E79">
        <v>1</v>
      </c>
      <c r="F79">
        <v>583.17999999999995</v>
      </c>
      <c r="G79" t="s">
        <v>2481</v>
      </c>
      <c r="H79" t="s">
        <v>3067</v>
      </c>
      <c r="I79" t="s">
        <v>3072</v>
      </c>
      <c r="J79" t="s">
        <v>3152</v>
      </c>
      <c r="K79">
        <v>5</v>
      </c>
      <c r="M79" t="s">
        <v>4282</v>
      </c>
      <c r="N79">
        <v>583.17999999999995</v>
      </c>
    </row>
    <row r="80" spans="1:14">
      <c r="A80" t="s">
        <v>92</v>
      </c>
      <c r="B80" s="2">
        <v>45510</v>
      </c>
      <c r="C80" t="s">
        <v>1292</v>
      </c>
      <c r="D80" t="s">
        <v>2407</v>
      </c>
      <c r="E80">
        <v>4</v>
      </c>
      <c r="F80">
        <v>175.36</v>
      </c>
      <c r="G80" t="s">
        <v>2482</v>
      </c>
      <c r="H80" t="s">
        <v>3065</v>
      </c>
      <c r="I80" t="s">
        <v>3073</v>
      </c>
      <c r="J80" t="s">
        <v>3153</v>
      </c>
      <c r="K80">
        <v>4</v>
      </c>
      <c r="L80" t="s">
        <v>4276</v>
      </c>
      <c r="M80" t="s">
        <v>4278</v>
      </c>
      <c r="N80">
        <v>701.44</v>
      </c>
    </row>
    <row r="81" spans="1:14">
      <c r="A81" t="s">
        <v>93</v>
      </c>
      <c r="B81" s="2">
        <v>45726</v>
      </c>
      <c r="C81" t="s">
        <v>1293</v>
      </c>
      <c r="D81" t="s">
        <v>2405</v>
      </c>
      <c r="E81">
        <v>2</v>
      </c>
      <c r="F81">
        <v>311.91000000000003</v>
      </c>
      <c r="G81" t="s">
        <v>2483</v>
      </c>
      <c r="H81" t="s">
        <v>3066</v>
      </c>
      <c r="I81" t="s">
        <v>3070</v>
      </c>
      <c r="J81" t="s">
        <v>3154</v>
      </c>
      <c r="K81">
        <v>2</v>
      </c>
      <c r="M81" t="s">
        <v>4281</v>
      </c>
      <c r="N81">
        <v>623.82000000000005</v>
      </c>
    </row>
    <row r="82" spans="1:14">
      <c r="A82" t="s">
        <v>94</v>
      </c>
      <c r="B82" s="2">
        <v>45104</v>
      </c>
      <c r="C82" t="s">
        <v>1294</v>
      </c>
      <c r="D82" t="s">
        <v>2404</v>
      </c>
      <c r="E82">
        <v>3</v>
      </c>
      <c r="F82">
        <v>589.55999999999995</v>
      </c>
      <c r="G82" t="s">
        <v>2484</v>
      </c>
      <c r="H82" t="s">
        <v>3066</v>
      </c>
      <c r="I82" t="s">
        <v>3072</v>
      </c>
      <c r="J82" t="s">
        <v>3155</v>
      </c>
      <c r="K82">
        <v>6</v>
      </c>
      <c r="M82" t="s">
        <v>4281</v>
      </c>
      <c r="N82">
        <v>1768.68</v>
      </c>
    </row>
    <row r="83" spans="1:14">
      <c r="A83" t="s">
        <v>95</v>
      </c>
      <c r="B83" s="2">
        <v>45085</v>
      </c>
      <c r="C83" t="s">
        <v>1295</v>
      </c>
      <c r="D83" t="s">
        <v>2403</v>
      </c>
      <c r="E83">
        <v>2</v>
      </c>
      <c r="F83">
        <v>394.3</v>
      </c>
      <c r="G83" t="s">
        <v>2485</v>
      </c>
      <c r="H83" t="s">
        <v>3069</v>
      </c>
      <c r="I83" t="s">
        <v>3070</v>
      </c>
      <c r="J83" t="s">
        <v>3156</v>
      </c>
      <c r="K83">
        <v>6</v>
      </c>
      <c r="L83" t="s">
        <v>4276</v>
      </c>
      <c r="M83" t="s">
        <v>4280</v>
      </c>
      <c r="N83">
        <v>788.6</v>
      </c>
    </row>
    <row r="84" spans="1:14">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c r="A85" t="s">
        <v>97</v>
      </c>
      <c r="B85" s="2">
        <v>45160</v>
      </c>
      <c r="C85" t="s">
        <v>1297</v>
      </c>
      <c r="D85" t="s">
        <v>2408</v>
      </c>
      <c r="E85">
        <v>4</v>
      </c>
      <c r="F85">
        <v>540.41</v>
      </c>
      <c r="G85" t="s">
        <v>2487</v>
      </c>
      <c r="H85" t="s">
        <v>3067</v>
      </c>
      <c r="I85" t="s">
        <v>3071</v>
      </c>
      <c r="J85" t="s">
        <v>3158</v>
      </c>
      <c r="K85">
        <v>6</v>
      </c>
      <c r="M85" t="s">
        <v>4279</v>
      </c>
      <c r="N85">
        <v>2161.64</v>
      </c>
    </row>
    <row r="86" spans="1:14">
      <c r="A86" t="s">
        <v>98</v>
      </c>
      <c r="B86" s="2">
        <v>45166</v>
      </c>
      <c r="C86" t="s">
        <v>1298</v>
      </c>
      <c r="D86" t="s">
        <v>2403</v>
      </c>
      <c r="E86">
        <v>2</v>
      </c>
      <c r="F86">
        <v>165.49</v>
      </c>
      <c r="G86" t="s">
        <v>2488</v>
      </c>
      <c r="H86" t="s">
        <v>3066</v>
      </c>
      <c r="I86" t="s">
        <v>3070</v>
      </c>
      <c r="J86" t="s">
        <v>3159</v>
      </c>
      <c r="K86">
        <v>4</v>
      </c>
      <c r="L86" t="s">
        <v>4277</v>
      </c>
      <c r="M86" t="s">
        <v>4278</v>
      </c>
      <c r="N86">
        <v>330.98</v>
      </c>
    </row>
    <row r="87" spans="1:14">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c r="A88" t="s">
        <v>100</v>
      </c>
      <c r="B88" s="2">
        <v>45462</v>
      </c>
      <c r="C88" t="s">
        <v>1300</v>
      </c>
      <c r="D88" t="s">
        <v>2407</v>
      </c>
      <c r="E88">
        <v>5</v>
      </c>
      <c r="F88">
        <v>643.03</v>
      </c>
      <c r="G88" t="s">
        <v>2490</v>
      </c>
      <c r="H88" t="s">
        <v>3066</v>
      </c>
      <c r="I88" t="s">
        <v>3071</v>
      </c>
      <c r="J88" t="s">
        <v>3161</v>
      </c>
      <c r="K88">
        <v>5</v>
      </c>
      <c r="L88" t="s">
        <v>4276</v>
      </c>
      <c r="M88" t="s">
        <v>4279</v>
      </c>
      <c r="N88">
        <v>3215.15</v>
      </c>
    </row>
    <row r="89" spans="1:14">
      <c r="A89" t="s">
        <v>101</v>
      </c>
      <c r="B89" s="2">
        <v>45575</v>
      </c>
      <c r="C89" t="s">
        <v>1301</v>
      </c>
      <c r="D89" t="s">
        <v>2405</v>
      </c>
      <c r="E89">
        <v>3</v>
      </c>
      <c r="F89">
        <v>225.11</v>
      </c>
      <c r="G89" t="s">
        <v>2491</v>
      </c>
      <c r="H89" t="s">
        <v>3069</v>
      </c>
      <c r="I89" t="s">
        <v>3070</v>
      </c>
      <c r="J89" t="s">
        <v>3162</v>
      </c>
      <c r="K89">
        <v>4</v>
      </c>
      <c r="L89" t="s">
        <v>4275</v>
      </c>
      <c r="M89" t="s">
        <v>4281</v>
      </c>
      <c r="N89">
        <v>675.33</v>
      </c>
    </row>
    <row r="90" spans="1:14">
      <c r="A90" t="s">
        <v>102</v>
      </c>
      <c r="B90" s="2">
        <v>45813</v>
      </c>
      <c r="C90" t="s">
        <v>1302</v>
      </c>
      <c r="D90" t="s">
        <v>2409</v>
      </c>
      <c r="E90">
        <v>3</v>
      </c>
      <c r="F90">
        <v>114.81</v>
      </c>
      <c r="G90" t="s">
        <v>2492</v>
      </c>
      <c r="H90" t="s">
        <v>3068</v>
      </c>
      <c r="I90" t="s">
        <v>3071</v>
      </c>
      <c r="J90" t="s">
        <v>3163</v>
      </c>
      <c r="K90">
        <v>7</v>
      </c>
      <c r="M90" t="s">
        <v>4282</v>
      </c>
      <c r="N90">
        <v>344.43</v>
      </c>
    </row>
    <row r="91" spans="1:14">
      <c r="A91" t="s">
        <v>103</v>
      </c>
      <c r="B91" s="2">
        <v>45713</v>
      </c>
      <c r="C91" t="s">
        <v>1303</v>
      </c>
      <c r="D91" t="s">
        <v>2407</v>
      </c>
      <c r="E91">
        <v>5</v>
      </c>
      <c r="F91">
        <v>455.33</v>
      </c>
      <c r="G91" t="s">
        <v>2493</v>
      </c>
      <c r="H91" t="s">
        <v>3067</v>
      </c>
      <c r="I91" t="s">
        <v>3071</v>
      </c>
      <c r="J91" t="s">
        <v>3164</v>
      </c>
      <c r="K91">
        <v>8</v>
      </c>
      <c r="L91" t="s">
        <v>4276</v>
      </c>
      <c r="M91" t="s">
        <v>4282</v>
      </c>
      <c r="N91">
        <v>2276.65</v>
      </c>
    </row>
    <row r="92" spans="1:14">
      <c r="A92" t="s">
        <v>104</v>
      </c>
      <c r="B92" s="2">
        <v>45187</v>
      </c>
      <c r="C92" t="s">
        <v>1304</v>
      </c>
      <c r="D92" t="s">
        <v>2406</v>
      </c>
      <c r="E92">
        <v>4</v>
      </c>
      <c r="F92">
        <v>182.08</v>
      </c>
      <c r="G92" t="s">
        <v>2494</v>
      </c>
      <c r="H92" t="s">
        <v>3068</v>
      </c>
      <c r="I92" t="s">
        <v>3073</v>
      </c>
      <c r="J92" t="s">
        <v>3165</v>
      </c>
      <c r="K92">
        <v>4</v>
      </c>
      <c r="L92" t="s">
        <v>4275</v>
      </c>
      <c r="M92" t="s">
        <v>4280</v>
      </c>
      <c r="N92">
        <v>728.32</v>
      </c>
    </row>
    <row r="93" spans="1:14">
      <c r="A93" t="s">
        <v>105</v>
      </c>
      <c r="B93" s="2">
        <v>45000</v>
      </c>
      <c r="C93" t="s">
        <v>1305</v>
      </c>
      <c r="D93" t="s">
        <v>2408</v>
      </c>
      <c r="E93">
        <v>5</v>
      </c>
      <c r="F93">
        <v>492.75</v>
      </c>
      <c r="G93" t="s">
        <v>2495</v>
      </c>
      <c r="H93" t="s">
        <v>3069</v>
      </c>
      <c r="I93" t="s">
        <v>3070</v>
      </c>
      <c r="J93" t="s">
        <v>3166</v>
      </c>
      <c r="K93">
        <v>6</v>
      </c>
      <c r="L93" t="s">
        <v>4277</v>
      </c>
      <c r="M93" t="s">
        <v>4279</v>
      </c>
      <c r="N93">
        <v>2463.75</v>
      </c>
    </row>
    <row r="94" spans="1:14">
      <c r="A94" t="s">
        <v>106</v>
      </c>
      <c r="B94" s="2">
        <v>45453</v>
      </c>
      <c r="C94" t="s">
        <v>1306</v>
      </c>
      <c r="D94" t="s">
        <v>2407</v>
      </c>
      <c r="E94">
        <v>4</v>
      </c>
      <c r="F94">
        <v>48.61</v>
      </c>
      <c r="G94" t="s">
        <v>2496</v>
      </c>
      <c r="H94" t="s">
        <v>3066</v>
      </c>
      <c r="I94" t="s">
        <v>3070</v>
      </c>
      <c r="J94" t="s">
        <v>3167</v>
      </c>
      <c r="K94">
        <v>7</v>
      </c>
      <c r="L94" t="s">
        <v>4276</v>
      </c>
      <c r="M94" t="s">
        <v>4281</v>
      </c>
      <c r="N94">
        <v>194.44</v>
      </c>
    </row>
    <row r="95" spans="1:14">
      <c r="A95" t="s">
        <v>107</v>
      </c>
      <c r="B95" s="2">
        <v>44940</v>
      </c>
      <c r="C95" t="s">
        <v>1307</v>
      </c>
      <c r="D95" t="s">
        <v>2409</v>
      </c>
      <c r="E95">
        <v>4</v>
      </c>
      <c r="F95">
        <v>431.01</v>
      </c>
      <c r="G95" t="s">
        <v>2497</v>
      </c>
      <c r="H95" t="s">
        <v>3067</v>
      </c>
      <c r="I95" t="s">
        <v>3072</v>
      </c>
      <c r="J95" t="s">
        <v>3168</v>
      </c>
      <c r="K95">
        <v>7</v>
      </c>
      <c r="M95" t="s">
        <v>4279</v>
      </c>
      <c r="N95">
        <v>1724.04</v>
      </c>
    </row>
    <row r="96" spans="1:14">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c r="A97" t="s">
        <v>109</v>
      </c>
      <c r="B97" s="2">
        <v>45009</v>
      </c>
      <c r="C97" t="s">
        <v>1309</v>
      </c>
      <c r="D97" t="s">
        <v>2407</v>
      </c>
      <c r="E97">
        <v>4</v>
      </c>
      <c r="F97">
        <v>117.51</v>
      </c>
      <c r="G97" t="s">
        <v>2499</v>
      </c>
      <c r="H97" t="s">
        <v>3065</v>
      </c>
      <c r="I97" t="s">
        <v>3072</v>
      </c>
      <c r="J97" t="s">
        <v>3170</v>
      </c>
      <c r="K97">
        <v>7</v>
      </c>
      <c r="M97" t="s">
        <v>4279</v>
      </c>
      <c r="N97">
        <v>470.04</v>
      </c>
    </row>
    <row r="98" spans="1:14">
      <c r="A98" t="s">
        <v>110</v>
      </c>
      <c r="B98" s="2">
        <v>45444</v>
      </c>
      <c r="C98" t="s">
        <v>1310</v>
      </c>
      <c r="D98" t="s">
        <v>2404</v>
      </c>
      <c r="E98">
        <v>2</v>
      </c>
      <c r="F98">
        <v>232.83</v>
      </c>
      <c r="G98" t="s">
        <v>2483</v>
      </c>
      <c r="H98" t="s">
        <v>3068</v>
      </c>
      <c r="I98" t="s">
        <v>3073</v>
      </c>
      <c r="J98" t="s">
        <v>3171</v>
      </c>
      <c r="K98">
        <v>7</v>
      </c>
      <c r="M98" t="s">
        <v>4278</v>
      </c>
      <c r="N98">
        <v>465.66</v>
      </c>
    </row>
    <row r="99" spans="1:14">
      <c r="A99" t="s">
        <v>111</v>
      </c>
      <c r="B99" s="2">
        <v>45678</v>
      </c>
      <c r="C99" t="s">
        <v>1311</v>
      </c>
      <c r="D99" t="s">
        <v>2405</v>
      </c>
      <c r="E99">
        <v>5</v>
      </c>
      <c r="F99">
        <v>619.52</v>
      </c>
      <c r="G99" t="s">
        <v>2500</v>
      </c>
      <c r="H99" t="s">
        <v>3065</v>
      </c>
      <c r="I99" t="s">
        <v>3074</v>
      </c>
      <c r="J99" t="s">
        <v>3172</v>
      </c>
      <c r="K99">
        <v>9</v>
      </c>
      <c r="M99" t="s">
        <v>4280</v>
      </c>
      <c r="N99">
        <v>3097.6</v>
      </c>
    </row>
    <row r="100" spans="1:14">
      <c r="A100" t="s">
        <v>112</v>
      </c>
      <c r="B100" s="2">
        <v>44940</v>
      </c>
      <c r="C100" t="s">
        <v>1312</v>
      </c>
      <c r="D100" t="s">
        <v>2407</v>
      </c>
      <c r="E100">
        <v>2</v>
      </c>
      <c r="F100">
        <v>228.54</v>
      </c>
      <c r="G100" t="s">
        <v>2501</v>
      </c>
      <c r="H100" t="s">
        <v>3065</v>
      </c>
      <c r="I100" t="s">
        <v>3074</v>
      </c>
      <c r="J100" t="s">
        <v>3173</v>
      </c>
      <c r="K100">
        <v>3</v>
      </c>
      <c r="M100" t="s">
        <v>4280</v>
      </c>
      <c r="N100">
        <v>457.08</v>
      </c>
    </row>
    <row r="101" spans="1:14">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c r="A102" t="s">
        <v>114</v>
      </c>
      <c r="B102" s="2">
        <v>44974</v>
      </c>
      <c r="C102" t="s">
        <v>1314</v>
      </c>
      <c r="D102" t="s">
        <v>2404</v>
      </c>
      <c r="E102">
        <v>3</v>
      </c>
      <c r="F102">
        <v>664.79</v>
      </c>
      <c r="G102" t="s">
        <v>2503</v>
      </c>
      <c r="H102" t="s">
        <v>3066</v>
      </c>
      <c r="I102" t="s">
        <v>3073</v>
      </c>
      <c r="J102" t="s">
        <v>3175</v>
      </c>
      <c r="K102">
        <v>6</v>
      </c>
      <c r="M102" t="s">
        <v>4281</v>
      </c>
      <c r="N102">
        <v>1994.37</v>
      </c>
    </row>
    <row r="103" spans="1:14">
      <c r="A103" t="s">
        <v>115</v>
      </c>
      <c r="B103" s="2">
        <v>45255</v>
      </c>
      <c r="C103" t="s">
        <v>1315</v>
      </c>
      <c r="D103" t="s">
        <v>2407</v>
      </c>
      <c r="E103">
        <v>1</v>
      </c>
      <c r="F103">
        <v>381.02</v>
      </c>
      <c r="G103" t="s">
        <v>2504</v>
      </c>
      <c r="H103" t="s">
        <v>3069</v>
      </c>
      <c r="I103" t="s">
        <v>3070</v>
      </c>
      <c r="J103" t="s">
        <v>3176</v>
      </c>
      <c r="K103">
        <v>6</v>
      </c>
      <c r="M103" t="s">
        <v>4282</v>
      </c>
      <c r="N103">
        <v>381.02</v>
      </c>
    </row>
    <row r="104" spans="1:14">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c r="A107" t="s">
        <v>119</v>
      </c>
      <c r="B107" s="2">
        <v>45589</v>
      </c>
      <c r="C107" t="s">
        <v>1319</v>
      </c>
      <c r="D107" t="s">
        <v>2407</v>
      </c>
      <c r="E107">
        <v>3</v>
      </c>
      <c r="F107">
        <v>185.4</v>
      </c>
      <c r="G107" t="s">
        <v>2508</v>
      </c>
      <c r="H107" t="s">
        <v>3068</v>
      </c>
      <c r="I107" t="s">
        <v>3071</v>
      </c>
      <c r="J107" t="s">
        <v>3180</v>
      </c>
      <c r="K107">
        <v>7</v>
      </c>
      <c r="M107" t="s">
        <v>4281</v>
      </c>
      <c r="N107">
        <v>556.20000000000005</v>
      </c>
    </row>
    <row r="108" spans="1:14">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c r="A124" t="s">
        <v>136</v>
      </c>
      <c r="B124" s="2">
        <v>45397</v>
      </c>
      <c r="C124" t="s">
        <v>1336</v>
      </c>
      <c r="D124" t="s">
        <v>2408</v>
      </c>
      <c r="E124">
        <v>2</v>
      </c>
      <c r="F124">
        <v>533.02</v>
      </c>
      <c r="G124" t="s">
        <v>2524</v>
      </c>
      <c r="H124" t="s">
        <v>3068</v>
      </c>
      <c r="I124" t="s">
        <v>3070</v>
      </c>
      <c r="J124" t="s">
        <v>3197</v>
      </c>
      <c r="K124">
        <v>2</v>
      </c>
      <c r="M124" t="s">
        <v>4281</v>
      </c>
      <c r="N124">
        <v>1066.04</v>
      </c>
    </row>
    <row r="125" spans="1:14">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c r="A129" t="s">
        <v>141</v>
      </c>
      <c r="B129" s="2">
        <v>45148</v>
      </c>
      <c r="C129" t="s">
        <v>1341</v>
      </c>
      <c r="D129" t="s">
        <v>2409</v>
      </c>
      <c r="E129">
        <v>3</v>
      </c>
      <c r="F129">
        <v>469.32</v>
      </c>
      <c r="G129" t="s">
        <v>2529</v>
      </c>
      <c r="H129" t="s">
        <v>3065</v>
      </c>
      <c r="I129" t="s">
        <v>3070</v>
      </c>
      <c r="J129" t="s">
        <v>3202</v>
      </c>
      <c r="K129">
        <v>3</v>
      </c>
      <c r="M129" t="s">
        <v>4282</v>
      </c>
      <c r="N129">
        <v>1407.96</v>
      </c>
    </row>
    <row r="130" spans="1:14">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c r="A133" t="s">
        <v>145</v>
      </c>
      <c r="B133" s="2">
        <v>44934</v>
      </c>
      <c r="C133" t="s">
        <v>1345</v>
      </c>
      <c r="D133" t="s">
        <v>2405</v>
      </c>
      <c r="E133">
        <v>1</v>
      </c>
      <c r="F133">
        <v>84.8</v>
      </c>
      <c r="G133" t="s">
        <v>2533</v>
      </c>
      <c r="H133" t="s">
        <v>3068</v>
      </c>
      <c r="I133" t="s">
        <v>3074</v>
      </c>
      <c r="J133" t="s">
        <v>3206</v>
      </c>
      <c r="K133">
        <v>5</v>
      </c>
      <c r="M133" t="s">
        <v>4278</v>
      </c>
      <c r="N133">
        <v>84.8</v>
      </c>
    </row>
    <row r="134" spans="1:14">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c r="A136" t="s">
        <v>148</v>
      </c>
      <c r="B136" s="2">
        <v>45831</v>
      </c>
      <c r="C136" t="s">
        <v>1348</v>
      </c>
      <c r="D136" t="s">
        <v>2408</v>
      </c>
      <c r="E136">
        <v>2</v>
      </c>
      <c r="F136">
        <v>199.7</v>
      </c>
      <c r="G136" t="s">
        <v>2534</v>
      </c>
      <c r="H136" t="s">
        <v>3069</v>
      </c>
      <c r="I136" t="s">
        <v>3074</v>
      </c>
      <c r="J136" t="s">
        <v>3209</v>
      </c>
      <c r="K136">
        <v>4</v>
      </c>
      <c r="M136" t="s">
        <v>4280</v>
      </c>
      <c r="N136">
        <v>399.4</v>
      </c>
    </row>
    <row r="137" spans="1:14">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c r="A139" t="s">
        <v>151</v>
      </c>
      <c r="B139" s="2">
        <v>45622</v>
      </c>
      <c r="C139" t="s">
        <v>1351</v>
      </c>
      <c r="D139" t="s">
        <v>2403</v>
      </c>
      <c r="E139">
        <v>2</v>
      </c>
      <c r="F139">
        <v>250.98</v>
      </c>
      <c r="G139" t="s">
        <v>2538</v>
      </c>
      <c r="H139" t="s">
        <v>3067</v>
      </c>
      <c r="I139" t="s">
        <v>3073</v>
      </c>
      <c r="J139" t="s">
        <v>3212</v>
      </c>
      <c r="K139">
        <v>5</v>
      </c>
      <c r="M139" t="s">
        <v>4282</v>
      </c>
      <c r="N139">
        <v>501.96</v>
      </c>
    </row>
    <row r="140" spans="1:14">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c r="A141" t="s">
        <v>153</v>
      </c>
      <c r="B141" s="2">
        <v>45026</v>
      </c>
      <c r="C141" t="s">
        <v>1353</v>
      </c>
      <c r="D141" t="s">
        <v>2404</v>
      </c>
      <c r="E141">
        <v>1</v>
      </c>
      <c r="F141">
        <v>583.9</v>
      </c>
      <c r="G141" t="s">
        <v>2540</v>
      </c>
      <c r="H141" t="s">
        <v>3069</v>
      </c>
      <c r="I141" t="s">
        <v>3072</v>
      </c>
      <c r="J141" t="s">
        <v>3214</v>
      </c>
      <c r="K141">
        <v>1</v>
      </c>
      <c r="M141" t="s">
        <v>4280</v>
      </c>
      <c r="N141">
        <v>583.9</v>
      </c>
    </row>
    <row r="142" spans="1:14">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c r="A145" t="s">
        <v>157</v>
      </c>
      <c r="B145" s="2">
        <v>45456</v>
      </c>
      <c r="C145" t="s">
        <v>1357</v>
      </c>
      <c r="D145" t="s">
        <v>2406</v>
      </c>
      <c r="E145">
        <v>4</v>
      </c>
      <c r="F145">
        <v>400.07</v>
      </c>
      <c r="G145" t="s">
        <v>2543</v>
      </c>
      <c r="H145" t="s">
        <v>3066</v>
      </c>
      <c r="I145" t="s">
        <v>3070</v>
      </c>
      <c r="J145" t="s">
        <v>3218</v>
      </c>
      <c r="K145">
        <v>5</v>
      </c>
      <c r="M145" t="s">
        <v>4279</v>
      </c>
      <c r="N145">
        <v>1600.28</v>
      </c>
    </row>
    <row r="146" spans="1:14">
      <c r="A146" t="s">
        <v>158</v>
      </c>
      <c r="B146" s="2">
        <v>45142</v>
      </c>
      <c r="C146" t="s">
        <v>1358</v>
      </c>
      <c r="D146" t="s">
        <v>2409</v>
      </c>
      <c r="E146">
        <v>5</v>
      </c>
      <c r="F146">
        <v>219.78</v>
      </c>
      <c r="G146" t="s">
        <v>2440</v>
      </c>
      <c r="H146" t="s">
        <v>3067</v>
      </c>
      <c r="I146" t="s">
        <v>3074</v>
      </c>
      <c r="J146" t="s">
        <v>3219</v>
      </c>
      <c r="K146">
        <v>8</v>
      </c>
      <c r="M146" t="s">
        <v>4281</v>
      </c>
      <c r="N146">
        <v>1098.9000000000001</v>
      </c>
    </row>
    <row r="147" spans="1:14">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c r="A148" t="s">
        <v>160</v>
      </c>
      <c r="B148" s="2">
        <v>45777</v>
      </c>
      <c r="C148" t="s">
        <v>1360</v>
      </c>
      <c r="D148" t="s">
        <v>2405</v>
      </c>
      <c r="E148">
        <v>2</v>
      </c>
      <c r="F148">
        <v>411.49</v>
      </c>
      <c r="G148" t="s">
        <v>2545</v>
      </c>
      <c r="H148" t="s">
        <v>3067</v>
      </c>
      <c r="I148" t="s">
        <v>3072</v>
      </c>
      <c r="J148" t="s">
        <v>3221</v>
      </c>
      <c r="K148">
        <v>4</v>
      </c>
      <c r="M148" t="s">
        <v>4278</v>
      </c>
      <c r="N148">
        <v>822.98</v>
      </c>
    </row>
    <row r="149" spans="1:14">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t="s">
        <v>163</v>
      </c>
      <c r="B151" s="2">
        <v>45287</v>
      </c>
      <c r="C151" t="s">
        <v>1363</v>
      </c>
      <c r="D151" t="s">
        <v>2408</v>
      </c>
      <c r="E151">
        <v>1</v>
      </c>
      <c r="F151">
        <v>217.56</v>
      </c>
      <c r="G151" t="s">
        <v>2548</v>
      </c>
      <c r="H151" t="s">
        <v>3065</v>
      </c>
      <c r="I151" t="s">
        <v>3073</v>
      </c>
      <c r="J151" t="s">
        <v>3224</v>
      </c>
      <c r="K151">
        <v>3</v>
      </c>
      <c r="M151" t="s">
        <v>4281</v>
      </c>
      <c r="N151">
        <v>217.56</v>
      </c>
    </row>
    <row r="152" spans="1:14">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c r="A153" t="s">
        <v>165</v>
      </c>
      <c r="B153" s="2">
        <v>45261</v>
      </c>
      <c r="C153" t="s">
        <v>1365</v>
      </c>
      <c r="D153" t="s">
        <v>2407</v>
      </c>
      <c r="E153">
        <v>5</v>
      </c>
      <c r="F153">
        <v>444.76</v>
      </c>
      <c r="G153" t="s">
        <v>2550</v>
      </c>
      <c r="H153" t="s">
        <v>3065</v>
      </c>
      <c r="I153" t="s">
        <v>3072</v>
      </c>
      <c r="J153" t="s">
        <v>3226</v>
      </c>
      <c r="K153">
        <v>7</v>
      </c>
      <c r="M153" t="s">
        <v>4280</v>
      </c>
      <c r="N153">
        <v>2223.8000000000002</v>
      </c>
    </row>
    <row r="154" spans="1:14">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c r="A156" t="s">
        <v>168</v>
      </c>
      <c r="B156" s="2">
        <v>45127</v>
      </c>
      <c r="C156" t="s">
        <v>1368</v>
      </c>
      <c r="D156" t="s">
        <v>2404</v>
      </c>
      <c r="E156">
        <v>4</v>
      </c>
      <c r="F156">
        <v>408.21</v>
      </c>
      <c r="G156" t="s">
        <v>2525</v>
      </c>
      <c r="H156" t="s">
        <v>3067</v>
      </c>
      <c r="I156" t="s">
        <v>3074</v>
      </c>
      <c r="J156" t="s">
        <v>3229</v>
      </c>
      <c r="K156">
        <v>9</v>
      </c>
      <c r="M156" t="s">
        <v>4278</v>
      </c>
      <c r="N156">
        <v>1632.84</v>
      </c>
    </row>
    <row r="157" spans="1:14">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t="s">
        <v>174</v>
      </c>
      <c r="B162" s="2">
        <v>44974</v>
      </c>
      <c r="C162" t="s">
        <v>1374</v>
      </c>
      <c r="D162" t="s">
        <v>2403</v>
      </c>
      <c r="E162">
        <v>4</v>
      </c>
      <c r="F162">
        <v>101.32</v>
      </c>
      <c r="G162" t="s">
        <v>2556</v>
      </c>
      <c r="H162" t="s">
        <v>3069</v>
      </c>
      <c r="I162" t="s">
        <v>3074</v>
      </c>
      <c r="J162" t="s">
        <v>3235</v>
      </c>
      <c r="K162">
        <v>7</v>
      </c>
      <c r="M162" t="s">
        <v>4279</v>
      </c>
      <c r="N162">
        <v>405.28</v>
      </c>
    </row>
    <row r="163" spans="1:14">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c r="A165" t="s">
        <v>177</v>
      </c>
      <c r="B165" s="2">
        <v>45832</v>
      </c>
      <c r="C165" t="s">
        <v>1377</v>
      </c>
      <c r="D165" t="s">
        <v>2405</v>
      </c>
      <c r="E165">
        <v>1</v>
      </c>
      <c r="F165">
        <v>641.39</v>
      </c>
      <c r="G165" t="s">
        <v>2557</v>
      </c>
      <c r="H165" t="s">
        <v>3066</v>
      </c>
      <c r="I165" t="s">
        <v>3071</v>
      </c>
      <c r="J165" t="s">
        <v>3238</v>
      </c>
      <c r="K165">
        <v>1</v>
      </c>
      <c r="M165" t="s">
        <v>4279</v>
      </c>
      <c r="N165">
        <v>641.39</v>
      </c>
    </row>
    <row r="166" spans="1:14">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c r="A170" t="s">
        <v>182</v>
      </c>
      <c r="B170" s="2">
        <v>45661</v>
      </c>
      <c r="C170" t="s">
        <v>1382</v>
      </c>
      <c r="D170" t="s">
        <v>2407</v>
      </c>
      <c r="E170">
        <v>1</v>
      </c>
      <c r="F170">
        <v>594.96</v>
      </c>
      <c r="G170" t="s">
        <v>2561</v>
      </c>
      <c r="H170" t="s">
        <v>3069</v>
      </c>
      <c r="I170" t="s">
        <v>3072</v>
      </c>
      <c r="J170" t="s">
        <v>3243</v>
      </c>
      <c r="K170">
        <v>6</v>
      </c>
      <c r="M170" t="s">
        <v>4281</v>
      </c>
      <c r="N170">
        <v>594.96</v>
      </c>
    </row>
    <row r="171" spans="1:14">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t="s">
        <v>193</v>
      </c>
      <c r="B181" s="2">
        <v>45620</v>
      </c>
      <c r="C181" t="s">
        <v>1393</v>
      </c>
      <c r="D181" t="s">
        <v>2408</v>
      </c>
      <c r="E181">
        <v>3</v>
      </c>
      <c r="F181">
        <v>539.91</v>
      </c>
      <c r="G181" t="s">
        <v>2571</v>
      </c>
      <c r="H181" t="s">
        <v>3067</v>
      </c>
      <c r="I181" t="s">
        <v>3073</v>
      </c>
      <c r="J181" t="s">
        <v>3254</v>
      </c>
      <c r="K181">
        <v>8</v>
      </c>
      <c r="M181" t="s">
        <v>4280</v>
      </c>
      <c r="N181">
        <v>1619.73</v>
      </c>
    </row>
    <row r="182" spans="1:14">
      <c r="A182" t="s">
        <v>194</v>
      </c>
      <c r="B182" s="2">
        <v>45003</v>
      </c>
      <c r="C182" t="s">
        <v>1394</v>
      </c>
      <c r="D182" t="s">
        <v>2405</v>
      </c>
      <c r="E182">
        <v>5</v>
      </c>
      <c r="F182">
        <v>316.07</v>
      </c>
      <c r="G182" t="s">
        <v>2572</v>
      </c>
      <c r="H182" t="s">
        <v>3069</v>
      </c>
      <c r="I182" t="s">
        <v>3072</v>
      </c>
      <c r="J182" t="s">
        <v>3255</v>
      </c>
      <c r="K182">
        <v>10</v>
      </c>
      <c r="M182" t="s">
        <v>4282</v>
      </c>
      <c r="N182">
        <v>1580.35</v>
      </c>
    </row>
    <row r="183" spans="1:14">
      <c r="A183" t="s">
        <v>195</v>
      </c>
      <c r="B183" s="2">
        <v>45535</v>
      </c>
      <c r="C183" t="s">
        <v>1395</v>
      </c>
      <c r="D183" t="s">
        <v>2407</v>
      </c>
      <c r="E183">
        <v>5</v>
      </c>
      <c r="F183">
        <v>404.39</v>
      </c>
      <c r="G183" t="s">
        <v>2573</v>
      </c>
      <c r="H183" t="s">
        <v>3066</v>
      </c>
      <c r="I183" t="s">
        <v>3070</v>
      </c>
      <c r="J183" t="s">
        <v>3256</v>
      </c>
      <c r="K183">
        <v>10</v>
      </c>
      <c r="M183" t="s">
        <v>4279</v>
      </c>
      <c r="N183">
        <v>2021.95</v>
      </c>
    </row>
    <row r="184" spans="1:14">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c r="A186" t="s">
        <v>198</v>
      </c>
      <c r="B186" s="2">
        <v>45386</v>
      </c>
      <c r="C186" t="s">
        <v>1398</v>
      </c>
      <c r="D186" t="s">
        <v>2405</v>
      </c>
      <c r="E186">
        <v>4</v>
      </c>
      <c r="F186">
        <v>214.54</v>
      </c>
      <c r="G186" t="s">
        <v>2576</v>
      </c>
      <c r="H186" t="s">
        <v>3068</v>
      </c>
      <c r="I186" t="s">
        <v>3071</v>
      </c>
      <c r="J186" t="s">
        <v>3259</v>
      </c>
      <c r="K186">
        <v>7</v>
      </c>
      <c r="M186" t="s">
        <v>4279</v>
      </c>
      <c r="N186">
        <v>858.16</v>
      </c>
    </row>
    <row r="187" spans="1:14">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c r="A195" t="s">
        <v>207</v>
      </c>
      <c r="B195" s="2">
        <v>45128</v>
      </c>
      <c r="C195" t="s">
        <v>1407</v>
      </c>
      <c r="D195" t="s">
        <v>2407</v>
      </c>
      <c r="E195">
        <v>1</v>
      </c>
      <c r="F195">
        <v>46.66</v>
      </c>
      <c r="G195" t="s">
        <v>2584</v>
      </c>
      <c r="H195" t="s">
        <v>3069</v>
      </c>
      <c r="I195" t="s">
        <v>3071</v>
      </c>
      <c r="J195" t="s">
        <v>3268</v>
      </c>
      <c r="K195">
        <v>6</v>
      </c>
      <c r="M195" t="s">
        <v>4282</v>
      </c>
      <c r="N195">
        <v>46.66</v>
      </c>
    </row>
    <row r="196" spans="1:14">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c r="A197" t="s">
        <v>209</v>
      </c>
      <c r="B197" s="2">
        <v>45404</v>
      </c>
      <c r="C197" t="s">
        <v>1409</v>
      </c>
      <c r="D197" t="s">
        <v>2406</v>
      </c>
      <c r="E197">
        <v>3</v>
      </c>
      <c r="F197">
        <v>619.21</v>
      </c>
      <c r="G197" t="s">
        <v>2586</v>
      </c>
      <c r="H197" t="s">
        <v>3065</v>
      </c>
      <c r="I197" t="s">
        <v>3071</v>
      </c>
      <c r="J197" t="s">
        <v>3270</v>
      </c>
      <c r="K197">
        <v>6</v>
      </c>
      <c r="M197" t="s">
        <v>4280</v>
      </c>
      <c r="N197">
        <v>1857.63</v>
      </c>
    </row>
    <row r="198" spans="1:14">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c r="A207" t="s">
        <v>219</v>
      </c>
      <c r="B207" s="2">
        <v>44989</v>
      </c>
      <c r="C207" t="s">
        <v>1419</v>
      </c>
      <c r="D207" t="s">
        <v>2409</v>
      </c>
      <c r="E207">
        <v>3</v>
      </c>
      <c r="F207">
        <v>147.38999999999999</v>
      </c>
      <c r="G207" t="s">
        <v>2591</v>
      </c>
      <c r="H207" t="s">
        <v>3065</v>
      </c>
      <c r="I207" t="s">
        <v>3072</v>
      </c>
      <c r="J207" t="s">
        <v>3280</v>
      </c>
      <c r="K207">
        <v>3</v>
      </c>
      <c r="M207" t="s">
        <v>4280</v>
      </c>
      <c r="N207">
        <v>442.17</v>
      </c>
    </row>
    <row r="208" spans="1:14">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c r="A209" t="s">
        <v>221</v>
      </c>
      <c r="B209" s="2">
        <v>45734</v>
      </c>
      <c r="C209" t="s">
        <v>1421</v>
      </c>
      <c r="D209" t="s">
        <v>2404</v>
      </c>
      <c r="E209">
        <v>1</v>
      </c>
      <c r="F209">
        <v>121.96</v>
      </c>
      <c r="G209" t="s">
        <v>2593</v>
      </c>
      <c r="H209" t="s">
        <v>3065</v>
      </c>
      <c r="I209" t="s">
        <v>3073</v>
      </c>
      <c r="J209" t="s">
        <v>3282</v>
      </c>
      <c r="K209">
        <v>3</v>
      </c>
      <c r="M209" t="s">
        <v>4282</v>
      </c>
      <c r="N209">
        <v>121.96</v>
      </c>
    </row>
    <row r="210" spans="1:14">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c r="A219" t="s">
        <v>231</v>
      </c>
      <c r="B219" s="2">
        <v>45432</v>
      </c>
      <c r="C219" t="s">
        <v>1431</v>
      </c>
      <c r="D219" t="s">
        <v>2409</v>
      </c>
      <c r="E219">
        <v>4</v>
      </c>
      <c r="F219">
        <v>321.51</v>
      </c>
      <c r="G219" t="s">
        <v>2598</v>
      </c>
      <c r="H219" t="s">
        <v>3069</v>
      </c>
      <c r="I219" t="s">
        <v>3072</v>
      </c>
      <c r="J219" t="s">
        <v>3292</v>
      </c>
      <c r="K219">
        <v>9</v>
      </c>
      <c r="M219" t="s">
        <v>4282</v>
      </c>
      <c r="N219">
        <v>1286.04</v>
      </c>
    </row>
    <row r="220" spans="1:14">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c r="A224" t="s">
        <v>236</v>
      </c>
      <c r="B224" s="2">
        <v>45050</v>
      </c>
      <c r="C224" t="s">
        <v>1436</v>
      </c>
      <c r="D224" t="s">
        <v>2406</v>
      </c>
      <c r="E224">
        <v>4</v>
      </c>
      <c r="F224">
        <v>693.36</v>
      </c>
      <c r="G224" t="s">
        <v>2602</v>
      </c>
      <c r="H224" t="s">
        <v>3066</v>
      </c>
      <c r="I224" t="s">
        <v>3070</v>
      </c>
      <c r="J224" t="s">
        <v>3297</v>
      </c>
      <c r="K224">
        <v>8</v>
      </c>
      <c r="M224" t="s">
        <v>4278</v>
      </c>
      <c r="N224">
        <v>2773.44</v>
      </c>
    </row>
    <row r="225" spans="1:14">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c r="A230" t="s">
        <v>242</v>
      </c>
      <c r="B230" s="2">
        <v>45063</v>
      </c>
      <c r="C230" t="s">
        <v>1442</v>
      </c>
      <c r="D230" t="s">
        <v>2406</v>
      </c>
      <c r="E230">
        <v>4</v>
      </c>
      <c r="F230">
        <v>385.92</v>
      </c>
      <c r="G230" t="s">
        <v>2606</v>
      </c>
      <c r="H230" t="s">
        <v>3067</v>
      </c>
      <c r="I230" t="s">
        <v>3071</v>
      </c>
      <c r="J230" t="s">
        <v>3303</v>
      </c>
      <c r="K230">
        <v>8</v>
      </c>
      <c r="M230" t="s">
        <v>4278</v>
      </c>
      <c r="N230">
        <v>1543.68</v>
      </c>
    </row>
    <row r="231" spans="1:14">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c r="A247" t="s">
        <v>259</v>
      </c>
      <c r="B247" s="2">
        <v>45767</v>
      </c>
      <c r="C247" t="s">
        <v>1459</v>
      </c>
      <c r="D247" t="s">
        <v>2408</v>
      </c>
      <c r="E247">
        <v>1</v>
      </c>
      <c r="F247">
        <v>223.3</v>
      </c>
      <c r="G247" t="s">
        <v>2622</v>
      </c>
      <c r="H247" t="s">
        <v>3066</v>
      </c>
      <c r="I247" t="s">
        <v>3072</v>
      </c>
      <c r="J247" t="s">
        <v>3320</v>
      </c>
      <c r="K247">
        <v>1</v>
      </c>
      <c r="M247" t="s">
        <v>4281</v>
      </c>
      <c r="N247">
        <v>223.3</v>
      </c>
    </row>
    <row r="248" spans="1:14">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c r="A249" t="s">
        <v>261</v>
      </c>
      <c r="B249" s="2">
        <v>45127</v>
      </c>
      <c r="C249" t="s">
        <v>1461</v>
      </c>
      <c r="D249" t="s">
        <v>2407</v>
      </c>
      <c r="E249">
        <v>2</v>
      </c>
      <c r="F249">
        <v>220.9</v>
      </c>
      <c r="G249" t="s">
        <v>2624</v>
      </c>
      <c r="H249" t="s">
        <v>3068</v>
      </c>
      <c r="I249" t="s">
        <v>3070</v>
      </c>
      <c r="J249" t="s">
        <v>3322</v>
      </c>
      <c r="K249">
        <v>4</v>
      </c>
      <c r="M249" t="s">
        <v>4280</v>
      </c>
      <c r="N249">
        <v>441.8</v>
      </c>
    </row>
    <row r="250" spans="1:14">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c r="A253" t="s">
        <v>265</v>
      </c>
      <c r="B253" s="2">
        <v>45792</v>
      </c>
      <c r="C253" t="s">
        <v>1465</v>
      </c>
      <c r="D253" t="s">
        <v>2403</v>
      </c>
      <c r="E253">
        <v>4</v>
      </c>
      <c r="F253">
        <v>14.69</v>
      </c>
      <c r="G253" t="s">
        <v>2627</v>
      </c>
      <c r="H253" t="s">
        <v>3069</v>
      </c>
      <c r="I253" t="s">
        <v>3071</v>
      </c>
      <c r="J253" t="s">
        <v>3326</v>
      </c>
      <c r="K253">
        <v>9</v>
      </c>
      <c r="M253" t="s">
        <v>4280</v>
      </c>
      <c r="N253">
        <v>58.76</v>
      </c>
    </row>
    <row r="254" spans="1:14">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c r="A256" t="s">
        <v>268</v>
      </c>
      <c r="B256" s="2">
        <v>45286</v>
      </c>
      <c r="C256" t="s">
        <v>1468</v>
      </c>
      <c r="D256" t="s">
        <v>2403</v>
      </c>
      <c r="E256">
        <v>3</v>
      </c>
      <c r="F256">
        <v>263.19</v>
      </c>
      <c r="G256" t="s">
        <v>2615</v>
      </c>
      <c r="H256" t="s">
        <v>3066</v>
      </c>
      <c r="I256" t="s">
        <v>3073</v>
      </c>
      <c r="J256" t="s">
        <v>3329</v>
      </c>
      <c r="K256">
        <v>5</v>
      </c>
      <c r="M256" t="s">
        <v>4278</v>
      </c>
      <c r="N256">
        <v>789.56999999999994</v>
      </c>
    </row>
    <row r="257" spans="1:14">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c r="A262" t="s">
        <v>274</v>
      </c>
      <c r="B262" s="2">
        <v>45063</v>
      </c>
      <c r="C262" t="s">
        <v>1474</v>
      </c>
      <c r="D262" t="s">
        <v>2403</v>
      </c>
      <c r="E262">
        <v>2</v>
      </c>
      <c r="F262">
        <v>407.79</v>
      </c>
      <c r="G262" t="s">
        <v>2632</v>
      </c>
      <c r="H262" t="s">
        <v>3065</v>
      </c>
      <c r="I262" t="s">
        <v>3070</v>
      </c>
      <c r="J262" t="s">
        <v>3335</v>
      </c>
      <c r="K262">
        <v>3</v>
      </c>
      <c r="M262" t="s">
        <v>4282</v>
      </c>
      <c r="N262">
        <v>815.58</v>
      </c>
    </row>
    <row r="263" spans="1:14">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t="s">
        <v>281</v>
      </c>
      <c r="B269" s="2">
        <v>45764</v>
      </c>
      <c r="C269" t="s">
        <v>1481</v>
      </c>
      <c r="D269" t="s">
        <v>2406</v>
      </c>
      <c r="E269">
        <v>5</v>
      </c>
      <c r="F269">
        <v>468.51</v>
      </c>
      <c r="G269" t="s">
        <v>2638</v>
      </c>
      <c r="H269" t="s">
        <v>3065</v>
      </c>
      <c r="I269" t="s">
        <v>3073</v>
      </c>
      <c r="J269" t="s">
        <v>3342</v>
      </c>
      <c r="K269">
        <v>9</v>
      </c>
      <c r="M269" t="s">
        <v>4281</v>
      </c>
      <c r="N269">
        <v>2342.5500000000002</v>
      </c>
    </row>
    <row r="270" spans="1:14">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c r="A283" t="s">
        <v>295</v>
      </c>
      <c r="B283" s="2">
        <v>45134</v>
      </c>
      <c r="C283" t="s">
        <v>1495</v>
      </c>
      <c r="D283" t="s">
        <v>2409</v>
      </c>
      <c r="E283">
        <v>4</v>
      </c>
      <c r="F283">
        <v>654.79</v>
      </c>
      <c r="G283" t="s">
        <v>2651</v>
      </c>
      <c r="H283" t="s">
        <v>3069</v>
      </c>
      <c r="I283" t="s">
        <v>3074</v>
      </c>
      <c r="J283" t="s">
        <v>3356</v>
      </c>
      <c r="K283">
        <v>9</v>
      </c>
      <c r="M283" t="s">
        <v>4279</v>
      </c>
      <c r="N283">
        <v>2619.16</v>
      </c>
    </row>
    <row r="284" spans="1:14">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c r="A287" t="s">
        <v>299</v>
      </c>
      <c r="B287" s="2">
        <v>45818</v>
      </c>
      <c r="C287" t="s">
        <v>1499</v>
      </c>
      <c r="D287" t="s">
        <v>2404</v>
      </c>
      <c r="E287">
        <v>1</v>
      </c>
      <c r="F287">
        <v>338.31</v>
      </c>
      <c r="G287" t="s">
        <v>2643</v>
      </c>
      <c r="H287" t="s">
        <v>3066</v>
      </c>
      <c r="I287" t="s">
        <v>3073</v>
      </c>
      <c r="J287" t="s">
        <v>3360</v>
      </c>
      <c r="K287">
        <v>3</v>
      </c>
      <c r="M287" t="s">
        <v>4282</v>
      </c>
      <c r="N287">
        <v>338.31</v>
      </c>
    </row>
    <row r="288" spans="1:14">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c r="A294" t="s">
        <v>306</v>
      </c>
      <c r="B294" s="2">
        <v>45672</v>
      </c>
      <c r="C294" t="s">
        <v>1506</v>
      </c>
      <c r="D294" t="s">
        <v>2403</v>
      </c>
      <c r="E294">
        <v>1</v>
      </c>
      <c r="F294">
        <v>65.95</v>
      </c>
      <c r="G294" t="s">
        <v>2594</v>
      </c>
      <c r="H294" t="s">
        <v>3067</v>
      </c>
      <c r="I294" t="s">
        <v>3073</v>
      </c>
      <c r="J294" t="s">
        <v>3367</v>
      </c>
      <c r="K294">
        <v>5</v>
      </c>
      <c r="M294" t="s">
        <v>4281</v>
      </c>
      <c r="N294">
        <v>65.95</v>
      </c>
    </row>
    <row r="295" spans="1:14">
      <c r="A295" t="s">
        <v>307</v>
      </c>
      <c r="B295" s="2">
        <v>44973</v>
      </c>
      <c r="C295" t="s">
        <v>1507</v>
      </c>
      <c r="D295" t="s">
        <v>2405</v>
      </c>
      <c r="E295">
        <v>4</v>
      </c>
      <c r="F295">
        <v>463.04</v>
      </c>
      <c r="G295" t="s">
        <v>2658</v>
      </c>
      <c r="H295" t="s">
        <v>3068</v>
      </c>
      <c r="I295" t="s">
        <v>3072</v>
      </c>
      <c r="J295" t="s">
        <v>3368</v>
      </c>
      <c r="K295">
        <v>9</v>
      </c>
      <c r="M295" t="s">
        <v>4278</v>
      </c>
      <c r="N295">
        <v>1852.16</v>
      </c>
    </row>
    <row r="296" spans="1:14">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c r="A300" t="s">
        <v>312</v>
      </c>
      <c r="B300" s="2">
        <v>45279</v>
      </c>
      <c r="C300" t="s">
        <v>1512</v>
      </c>
      <c r="D300" t="s">
        <v>2407</v>
      </c>
      <c r="E300">
        <v>4</v>
      </c>
      <c r="F300">
        <v>301.17</v>
      </c>
      <c r="G300" t="s">
        <v>2450</v>
      </c>
      <c r="H300" t="s">
        <v>3066</v>
      </c>
      <c r="I300" t="s">
        <v>3071</v>
      </c>
      <c r="J300" t="s">
        <v>3373</v>
      </c>
      <c r="K300">
        <v>6</v>
      </c>
      <c r="M300" t="s">
        <v>4280</v>
      </c>
      <c r="N300">
        <v>1204.68</v>
      </c>
    </row>
    <row r="301" spans="1:14">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c r="A305" t="s">
        <v>317</v>
      </c>
      <c r="B305" s="2">
        <v>45633</v>
      </c>
      <c r="C305" t="s">
        <v>1517</v>
      </c>
      <c r="D305" t="s">
        <v>2405</v>
      </c>
      <c r="E305">
        <v>1</v>
      </c>
      <c r="F305">
        <v>30.54</v>
      </c>
      <c r="G305" t="s">
        <v>2666</v>
      </c>
      <c r="H305" t="s">
        <v>3065</v>
      </c>
      <c r="I305" t="s">
        <v>3072</v>
      </c>
      <c r="J305" t="s">
        <v>3378</v>
      </c>
      <c r="K305">
        <v>1</v>
      </c>
      <c r="M305" t="s">
        <v>4282</v>
      </c>
      <c r="N305">
        <v>30.54</v>
      </c>
    </row>
    <row r="306" spans="1:14">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c r="A309" t="s">
        <v>321</v>
      </c>
      <c r="B309" s="2">
        <v>45108</v>
      </c>
      <c r="C309" t="s">
        <v>1521</v>
      </c>
      <c r="D309" t="s">
        <v>2408</v>
      </c>
      <c r="E309">
        <v>3</v>
      </c>
      <c r="F309">
        <v>557.41</v>
      </c>
      <c r="G309" t="s">
        <v>2670</v>
      </c>
      <c r="H309" t="s">
        <v>3066</v>
      </c>
      <c r="I309" t="s">
        <v>3073</v>
      </c>
      <c r="J309" t="s">
        <v>3382</v>
      </c>
      <c r="K309">
        <v>4</v>
      </c>
      <c r="M309" t="s">
        <v>4280</v>
      </c>
      <c r="N309">
        <v>1672.23</v>
      </c>
    </row>
    <row r="310" spans="1:14">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c r="A313" t="s">
        <v>325</v>
      </c>
      <c r="B313" s="2">
        <v>45794</v>
      </c>
      <c r="C313" t="s">
        <v>1525</v>
      </c>
      <c r="D313" t="s">
        <v>2409</v>
      </c>
      <c r="E313">
        <v>5</v>
      </c>
      <c r="F313">
        <v>489.37</v>
      </c>
      <c r="G313" t="s">
        <v>2673</v>
      </c>
      <c r="H313" t="s">
        <v>3066</v>
      </c>
      <c r="I313" t="s">
        <v>3072</v>
      </c>
      <c r="J313" t="s">
        <v>3386</v>
      </c>
      <c r="K313">
        <v>8</v>
      </c>
      <c r="M313" t="s">
        <v>4278</v>
      </c>
      <c r="N313">
        <v>2446.85</v>
      </c>
    </row>
    <row r="314" spans="1:14">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t="s">
        <v>338</v>
      </c>
      <c r="B326" s="2">
        <v>45456</v>
      </c>
      <c r="C326" t="s">
        <v>1538</v>
      </c>
      <c r="D326" t="s">
        <v>2405</v>
      </c>
      <c r="E326">
        <v>3</v>
      </c>
      <c r="F326">
        <v>70.930000000000007</v>
      </c>
      <c r="G326" t="s">
        <v>2682</v>
      </c>
      <c r="H326" t="s">
        <v>3065</v>
      </c>
      <c r="I326" t="s">
        <v>3072</v>
      </c>
      <c r="J326" t="s">
        <v>3399</v>
      </c>
      <c r="K326">
        <v>5</v>
      </c>
      <c r="M326" t="s">
        <v>4279</v>
      </c>
      <c r="N326">
        <v>212.79</v>
      </c>
    </row>
    <row r="327" spans="1:14">
      <c r="A327" t="s">
        <v>339</v>
      </c>
      <c r="B327" s="2">
        <v>45106</v>
      </c>
      <c r="C327" t="s">
        <v>1539</v>
      </c>
      <c r="D327" t="s">
        <v>2409</v>
      </c>
      <c r="E327">
        <v>3</v>
      </c>
      <c r="F327">
        <v>361.39</v>
      </c>
      <c r="G327" t="s">
        <v>2683</v>
      </c>
      <c r="H327" t="s">
        <v>3067</v>
      </c>
      <c r="I327" t="s">
        <v>3070</v>
      </c>
      <c r="J327" t="s">
        <v>3400</v>
      </c>
      <c r="K327">
        <v>8</v>
      </c>
      <c r="M327" t="s">
        <v>4279</v>
      </c>
      <c r="N327">
        <v>1084.17</v>
      </c>
    </row>
    <row r="328" spans="1:14">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c r="A337" t="s">
        <v>349</v>
      </c>
      <c r="B337" s="2">
        <v>45719</v>
      </c>
      <c r="C337" t="s">
        <v>1549</v>
      </c>
      <c r="D337" t="s">
        <v>2405</v>
      </c>
      <c r="E337">
        <v>3</v>
      </c>
      <c r="F337">
        <v>205.86</v>
      </c>
      <c r="G337" t="s">
        <v>2674</v>
      </c>
      <c r="H337" t="s">
        <v>3068</v>
      </c>
      <c r="I337" t="s">
        <v>3070</v>
      </c>
      <c r="J337" t="s">
        <v>3410</v>
      </c>
      <c r="K337">
        <v>4</v>
      </c>
      <c r="M337" t="s">
        <v>4280</v>
      </c>
      <c r="N337">
        <v>617.58000000000004</v>
      </c>
    </row>
    <row r="338" spans="1:14">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c r="A340" t="s">
        <v>352</v>
      </c>
      <c r="B340" s="2">
        <v>45238</v>
      </c>
      <c r="C340" t="s">
        <v>1552</v>
      </c>
      <c r="D340" t="s">
        <v>2404</v>
      </c>
      <c r="E340">
        <v>5</v>
      </c>
      <c r="F340">
        <v>305.49</v>
      </c>
      <c r="G340" t="s">
        <v>2691</v>
      </c>
      <c r="H340" t="s">
        <v>3065</v>
      </c>
      <c r="I340" t="s">
        <v>3070</v>
      </c>
      <c r="J340" t="s">
        <v>3413</v>
      </c>
      <c r="K340">
        <v>10</v>
      </c>
      <c r="M340" t="s">
        <v>4279</v>
      </c>
      <c r="N340">
        <v>1527.45</v>
      </c>
    </row>
    <row r="341" spans="1:14">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c r="A342" t="s">
        <v>354</v>
      </c>
      <c r="B342" s="2">
        <v>45039</v>
      </c>
      <c r="C342" t="s">
        <v>1554</v>
      </c>
      <c r="D342" t="s">
        <v>2408</v>
      </c>
      <c r="E342">
        <v>5</v>
      </c>
      <c r="F342">
        <v>521.25</v>
      </c>
      <c r="G342" t="s">
        <v>2693</v>
      </c>
      <c r="H342" t="s">
        <v>3069</v>
      </c>
      <c r="I342" t="s">
        <v>3071</v>
      </c>
      <c r="J342" t="s">
        <v>3415</v>
      </c>
      <c r="K342">
        <v>8</v>
      </c>
      <c r="M342" t="s">
        <v>4280</v>
      </c>
      <c r="N342">
        <v>2606.25</v>
      </c>
    </row>
    <row r="343" spans="1:14">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c r="A344" t="s">
        <v>356</v>
      </c>
      <c r="B344" s="2">
        <v>45832</v>
      </c>
      <c r="C344" t="s">
        <v>1556</v>
      </c>
      <c r="D344" t="s">
        <v>2403</v>
      </c>
      <c r="E344">
        <v>5</v>
      </c>
      <c r="F344">
        <v>466.42</v>
      </c>
      <c r="G344" t="s">
        <v>2695</v>
      </c>
      <c r="H344" t="s">
        <v>3068</v>
      </c>
      <c r="I344" t="s">
        <v>3072</v>
      </c>
      <c r="J344" t="s">
        <v>3417</v>
      </c>
      <c r="K344">
        <v>5</v>
      </c>
      <c r="M344" t="s">
        <v>4279</v>
      </c>
      <c r="N344">
        <v>2332.1</v>
      </c>
    </row>
    <row r="345" spans="1:14">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c r="A348" t="s">
        <v>360</v>
      </c>
      <c r="B348" s="2">
        <v>45632</v>
      </c>
      <c r="C348" t="s">
        <v>1560</v>
      </c>
      <c r="D348" t="s">
        <v>2405</v>
      </c>
      <c r="E348">
        <v>1</v>
      </c>
      <c r="F348">
        <v>655.09</v>
      </c>
      <c r="G348" t="s">
        <v>2699</v>
      </c>
      <c r="H348" t="s">
        <v>3069</v>
      </c>
      <c r="I348" t="s">
        <v>3074</v>
      </c>
      <c r="J348" t="s">
        <v>3421</v>
      </c>
      <c r="K348">
        <v>6</v>
      </c>
      <c r="M348" t="s">
        <v>4279</v>
      </c>
      <c r="N348">
        <v>655.09</v>
      </c>
    </row>
    <row r="349" spans="1:14">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c r="A352" t="s">
        <v>364</v>
      </c>
      <c r="B352" s="2">
        <v>45080</v>
      </c>
      <c r="C352" t="s">
        <v>1564</v>
      </c>
      <c r="D352" t="s">
        <v>2406</v>
      </c>
      <c r="E352">
        <v>2</v>
      </c>
      <c r="F352">
        <v>54.41</v>
      </c>
      <c r="G352" t="s">
        <v>2703</v>
      </c>
      <c r="H352" t="s">
        <v>3066</v>
      </c>
      <c r="I352" t="s">
        <v>3070</v>
      </c>
      <c r="J352" t="s">
        <v>3425</v>
      </c>
      <c r="K352">
        <v>6</v>
      </c>
      <c r="M352" t="s">
        <v>4278</v>
      </c>
      <c r="N352">
        <v>108.82</v>
      </c>
    </row>
    <row r="353" spans="1:14">
      <c r="A353" t="s">
        <v>365</v>
      </c>
      <c r="B353" s="2">
        <v>45703</v>
      </c>
      <c r="C353" t="s">
        <v>1565</v>
      </c>
      <c r="D353" t="s">
        <v>2408</v>
      </c>
      <c r="E353">
        <v>1</v>
      </c>
      <c r="F353">
        <v>64.66</v>
      </c>
      <c r="G353" t="s">
        <v>2704</v>
      </c>
      <c r="H353" t="s">
        <v>3065</v>
      </c>
      <c r="I353" t="s">
        <v>3073</v>
      </c>
      <c r="J353" t="s">
        <v>3426</v>
      </c>
      <c r="K353">
        <v>4</v>
      </c>
      <c r="M353" t="s">
        <v>4278</v>
      </c>
      <c r="N353">
        <v>64.66</v>
      </c>
    </row>
    <row r="354" spans="1:14">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t="s">
        <v>368</v>
      </c>
      <c r="B356" s="2">
        <v>45118</v>
      </c>
      <c r="C356" t="s">
        <v>1568</v>
      </c>
      <c r="D356" t="s">
        <v>2404</v>
      </c>
      <c r="E356">
        <v>1</v>
      </c>
      <c r="F356">
        <v>693.41</v>
      </c>
      <c r="G356" t="s">
        <v>2707</v>
      </c>
      <c r="H356" t="s">
        <v>3065</v>
      </c>
      <c r="I356" t="s">
        <v>3070</v>
      </c>
      <c r="J356" t="s">
        <v>3429</v>
      </c>
      <c r="K356">
        <v>4</v>
      </c>
      <c r="M356" t="s">
        <v>4278</v>
      </c>
      <c r="N356">
        <v>693.41</v>
      </c>
    </row>
    <row r="357" spans="1:14">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c r="A368" t="s">
        <v>380</v>
      </c>
      <c r="B368" s="2">
        <v>44967</v>
      </c>
      <c r="C368" t="s">
        <v>1580</v>
      </c>
      <c r="D368" t="s">
        <v>2407</v>
      </c>
      <c r="E368">
        <v>3</v>
      </c>
      <c r="F368">
        <v>602.24</v>
      </c>
      <c r="G368" t="s">
        <v>2715</v>
      </c>
      <c r="H368" t="s">
        <v>3065</v>
      </c>
      <c r="I368" t="s">
        <v>3074</v>
      </c>
      <c r="J368" t="s">
        <v>3441</v>
      </c>
      <c r="K368">
        <v>8</v>
      </c>
      <c r="M368" t="s">
        <v>4279</v>
      </c>
      <c r="N368">
        <v>1806.72</v>
      </c>
    </row>
    <row r="369" spans="1:14">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c r="A370" t="s">
        <v>382</v>
      </c>
      <c r="B370" s="2">
        <v>45047</v>
      </c>
      <c r="C370" t="s">
        <v>1582</v>
      </c>
      <c r="D370" t="s">
        <v>2403</v>
      </c>
      <c r="E370">
        <v>3</v>
      </c>
      <c r="F370">
        <v>271.02</v>
      </c>
      <c r="G370" t="s">
        <v>2716</v>
      </c>
      <c r="H370" t="s">
        <v>3067</v>
      </c>
      <c r="I370" t="s">
        <v>3071</v>
      </c>
      <c r="J370" t="s">
        <v>3443</v>
      </c>
      <c r="K370">
        <v>6</v>
      </c>
      <c r="M370" t="s">
        <v>4282</v>
      </c>
      <c r="N370">
        <v>813.06</v>
      </c>
    </row>
    <row r="371" spans="1:14">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c r="A374" t="s">
        <v>386</v>
      </c>
      <c r="B374" s="2">
        <v>45702</v>
      </c>
      <c r="C374" t="s">
        <v>1586</v>
      </c>
      <c r="D374" t="s">
        <v>2406</v>
      </c>
      <c r="E374">
        <v>3</v>
      </c>
      <c r="F374">
        <v>483.53</v>
      </c>
      <c r="G374" t="s">
        <v>2719</v>
      </c>
      <c r="H374" t="s">
        <v>3069</v>
      </c>
      <c r="I374" t="s">
        <v>3072</v>
      </c>
      <c r="J374" t="s">
        <v>3447</v>
      </c>
      <c r="K374">
        <v>4</v>
      </c>
      <c r="M374" t="s">
        <v>4279</v>
      </c>
      <c r="N374">
        <v>1450.59</v>
      </c>
    </row>
    <row r="375" spans="1:14">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c r="A381" t="s">
        <v>393</v>
      </c>
      <c r="B381" s="2">
        <v>45556</v>
      </c>
      <c r="C381" t="s">
        <v>1593</v>
      </c>
      <c r="D381" t="s">
        <v>2404</v>
      </c>
      <c r="E381">
        <v>3</v>
      </c>
      <c r="F381">
        <v>297.67</v>
      </c>
      <c r="G381" t="s">
        <v>2571</v>
      </c>
      <c r="H381" t="s">
        <v>3066</v>
      </c>
      <c r="I381" t="s">
        <v>3070</v>
      </c>
      <c r="J381" t="s">
        <v>3454</v>
      </c>
      <c r="K381">
        <v>6</v>
      </c>
      <c r="M381" t="s">
        <v>4282</v>
      </c>
      <c r="N381">
        <v>893.01</v>
      </c>
    </row>
    <row r="382" spans="1:14">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c r="A388" t="s">
        <v>400</v>
      </c>
      <c r="B388" s="2">
        <v>45044</v>
      </c>
      <c r="C388" t="s">
        <v>1600</v>
      </c>
      <c r="D388" t="s">
        <v>2405</v>
      </c>
      <c r="E388">
        <v>1</v>
      </c>
      <c r="F388">
        <v>93.02</v>
      </c>
      <c r="G388" t="s">
        <v>2726</v>
      </c>
      <c r="H388" t="s">
        <v>3066</v>
      </c>
      <c r="I388" t="s">
        <v>3072</v>
      </c>
      <c r="J388" t="s">
        <v>3461</v>
      </c>
      <c r="K388">
        <v>4</v>
      </c>
      <c r="M388" t="s">
        <v>4280</v>
      </c>
      <c r="N388">
        <v>93.02</v>
      </c>
    </row>
    <row r="389" spans="1:14">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c r="A404" t="s">
        <v>416</v>
      </c>
      <c r="B404" s="2">
        <v>45025</v>
      </c>
      <c r="C404" t="s">
        <v>1616</v>
      </c>
      <c r="D404" t="s">
        <v>2407</v>
      </c>
      <c r="E404">
        <v>5</v>
      </c>
      <c r="F404">
        <v>337.38</v>
      </c>
      <c r="G404" t="s">
        <v>2734</v>
      </c>
      <c r="H404" t="s">
        <v>3068</v>
      </c>
      <c r="I404" t="s">
        <v>3070</v>
      </c>
      <c r="J404" t="s">
        <v>3477</v>
      </c>
      <c r="K404">
        <v>5</v>
      </c>
      <c r="M404" t="s">
        <v>4279</v>
      </c>
      <c r="N404">
        <v>1686.9</v>
      </c>
    </row>
    <row r="405" spans="1:14">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c r="A406" t="s">
        <v>418</v>
      </c>
      <c r="B406" s="2">
        <v>44994</v>
      </c>
      <c r="C406" t="s">
        <v>1618</v>
      </c>
      <c r="D406" t="s">
        <v>2403</v>
      </c>
      <c r="E406">
        <v>2</v>
      </c>
      <c r="F406">
        <v>99.1</v>
      </c>
      <c r="G406" t="s">
        <v>2473</v>
      </c>
      <c r="H406" t="s">
        <v>3069</v>
      </c>
      <c r="I406" t="s">
        <v>3073</v>
      </c>
      <c r="J406" t="s">
        <v>3479</v>
      </c>
      <c r="K406">
        <v>6</v>
      </c>
      <c r="M406" t="s">
        <v>4278</v>
      </c>
      <c r="N406">
        <v>198.2</v>
      </c>
    </row>
    <row r="407" spans="1:14">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c r="A412" t="s">
        <v>424</v>
      </c>
      <c r="B412" s="2">
        <v>45309</v>
      </c>
      <c r="C412" t="s">
        <v>1624</v>
      </c>
      <c r="D412" t="s">
        <v>2405</v>
      </c>
      <c r="E412">
        <v>2</v>
      </c>
      <c r="F412">
        <v>518.23</v>
      </c>
      <c r="G412" t="s">
        <v>2737</v>
      </c>
      <c r="H412" t="s">
        <v>3065</v>
      </c>
      <c r="I412" t="s">
        <v>3070</v>
      </c>
      <c r="J412" t="s">
        <v>3485</v>
      </c>
      <c r="K412">
        <v>5</v>
      </c>
      <c r="M412" t="s">
        <v>4280</v>
      </c>
      <c r="N412">
        <v>1036.46</v>
      </c>
    </row>
    <row r="413" spans="1:14">
      <c r="A413" t="s">
        <v>425</v>
      </c>
      <c r="B413" s="2">
        <v>45462</v>
      </c>
      <c r="C413" t="s">
        <v>1625</v>
      </c>
      <c r="D413" t="s">
        <v>2409</v>
      </c>
      <c r="E413">
        <v>2</v>
      </c>
      <c r="F413">
        <v>39.51</v>
      </c>
      <c r="G413" t="s">
        <v>2549</v>
      </c>
      <c r="H413" t="s">
        <v>3066</v>
      </c>
      <c r="I413" t="s">
        <v>3070</v>
      </c>
      <c r="J413" t="s">
        <v>3486</v>
      </c>
      <c r="K413">
        <v>5</v>
      </c>
      <c r="M413" t="s">
        <v>4281</v>
      </c>
      <c r="N413">
        <v>79.02</v>
      </c>
    </row>
    <row r="414" spans="1:14">
      <c r="A414" t="s">
        <v>426</v>
      </c>
      <c r="B414" s="2">
        <v>45758</v>
      </c>
      <c r="C414" t="s">
        <v>1626</v>
      </c>
      <c r="D414" t="s">
        <v>2405</v>
      </c>
      <c r="E414">
        <v>5</v>
      </c>
      <c r="F414">
        <v>133.01</v>
      </c>
      <c r="G414" t="s">
        <v>2738</v>
      </c>
      <c r="H414" t="s">
        <v>3067</v>
      </c>
      <c r="I414" t="s">
        <v>3072</v>
      </c>
      <c r="J414" t="s">
        <v>3487</v>
      </c>
      <c r="K414">
        <v>10</v>
      </c>
      <c r="M414" t="s">
        <v>4281</v>
      </c>
      <c r="N414">
        <v>665.05</v>
      </c>
    </row>
    <row r="415" spans="1:14">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t="s">
        <v>431</v>
      </c>
      <c r="B419" s="2">
        <v>45223</v>
      </c>
      <c r="C419" t="s">
        <v>1631</v>
      </c>
      <c r="D419" t="s">
        <v>2408</v>
      </c>
      <c r="E419">
        <v>5</v>
      </c>
      <c r="F419">
        <v>55.41</v>
      </c>
      <c r="G419" t="s">
        <v>2742</v>
      </c>
      <c r="H419" t="s">
        <v>3066</v>
      </c>
      <c r="I419" t="s">
        <v>3071</v>
      </c>
      <c r="J419" t="s">
        <v>3492</v>
      </c>
      <c r="K419">
        <v>5</v>
      </c>
      <c r="M419" t="s">
        <v>4282</v>
      </c>
      <c r="N419">
        <v>277.05</v>
      </c>
    </row>
    <row r="420" spans="1:14">
      <c r="A420" t="s">
        <v>432</v>
      </c>
      <c r="B420" s="2">
        <v>44937</v>
      </c>
      <c r="C420" t="s">
        <v>1632</v>
      </c>
      <c r="D420" t="s">
        <v>2407</v>
      </c>
      <c r="E420">
        <v>1</v>
      </c>
      <c r="F420">
        <v>310.93</v>
      </c>
      <c r="G420" t="s">
        <v>2743</v>
      </c>
      <c r="H420" t="s">
        <v>3066</v>
      </c>
      <c r="I420" t="s">
        <v>3071</v>
      </c>
      <c r="J420" t="s">
        <v>3493</v>
      </c>
      <c r="K420">
        <v>3</v>
      </c>
      <c r="M420" t="s">
        <v>4281</v>
      </c>
      <c r="N420">
        <v>310.93</v>
      </c>
    </row>
    <row r="421" spans="1:14">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c r="A426" t="s">
        <v>438</v>
      </c>
      <c r="B426" s="2">
        <v>45028</v>
      </c>
      <c r="C426" t="s">
        <v>1638</v>
      </c>
      <c r="D426" t="s">
        <v>2406</v>
      </c>
      <c r="E426">
        <v>5</v>
      </c>
      <c r="F426">
        <v>22.94</v>
      </c>
      <c r="G426" t="s">
        <v>2678</v>
      </c>
      <c r="H426" t="s">
        <v>3069</v>
      </c>
      <c r="I426" t="s">
        <v>3074</v>
      </c>
      <c r="J426" t="s">
        <v>3499</v>
      </c>
      <c r="K426">
        <v>10</v>
      </c>
      <c r="M426" t="s">
        <v>4280</v>
      </c>
      <c r="N426">
        <v>114.7</v>
      </c>
    </row>
    <row r="427" spans="1:14">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c r="A428" t="s">
        <v>440</v>
      </c>
      <c r="B428" s="2">
        <v>45732</v>
      </c>
      <c r="C428" t="s">
        <v>1640</v>
      </c>
      <c r="D428" t="s">
        <v>2403</v>
      </c>
      <c r="E428">
        <v>5</v>
      </c>
      <c r="F428">
        <v>57.45</v>
      </c>
      <c r="G428" t="s">
        <v>2747</v>
      </c>
      <c r="H428" t="s">
        <v>3069</v>
      </c>
      <c r="I428" t="s">
        <v>3071</v>
      </c>
      <c r="J428" t="s">
        <v>3501</v>
      </c>
      <c r="K428">
        <v>10</v>
      </c>
      <c r="M428" t="s">
        <v>4281</v>
      </c>
      <c r="N428">
        <v>287.25</v>
      </c>
    </row>
    <row r="429" spans="1:14">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c r="A434" t="s">
        <v>446</v>
      </c>
      <c r="B434" s="2">
        <v>45173</v>
      </c>
      <c r="C434" t="s">
        <v>1646</v>
      </c>
      <c r="D434" t="s">
        <v>2405</v>
      </c>
      <c r="E434">
        <v>2</v>
      </c>
      <c r="F434">
        <v>424.32</v>
      </c>
      <c r="G434" t="s">
        <v>2750</v>
      </c>
      <c r="H434" t="s">
        <v>3067</v>
      </c>
      <c r="I434" t="s">
        <v>3072</v>
      </c>
      <c r="J434" t="s">
        <v>3507</v>
      </c>
      <c r="K434">
        <v>6</v>
      </c>
      <c r="M434" t="s">
        <v>4279</v>
      </c>
      <c r="N434">
        <v>848.64</v>
      </c>
    </row>
    <row r="435" spans="1:14">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c r="A436" t="s">
        <v>448</v>
      </c>
      <c r="B436" s="2">
        <v>45221</v>
      </c>
      <c r="C436" t="s">
        <v>1648</v>
      </c>
      <c r="D436" t="s">
        <v>2407</v>
      </c>
      <c r="E436">
        <v>5</v>
      </c>
      <c r="F436">
        <v>327.68</v>
      </c>
      <c r="G436" t="s">
        <v>2475</v>
      </c>
      <c r="H436" t="s">
        <v>3067</v>
      </c>
      <c r="I436" t="s">
        <v>3072</v>
      </c>
      <c r="J436" t="s">
        <v>3509</v>
      </c>
      <c r="K436">
        <v>6</v>
      </c>
      <c r="M436" t="s">
        <v>4281</v>
      </c>
      <c r="N436">
        <v>1638.4</v>
      </c>
    </row>
    <row r="437" spans="1:14">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c r="A438" t="s">
        <v>450</v>
      </c>
      <c r="B438" s="2">
        <v>44968</v>
      </c>
      <c r="C438" t="s">
        <v>1650</v>
      </c>
      <c r="D438" t="s">
        <v>2408</v>
      </c>
      <c r="E438">
        <v>4</v>
      </c>
      <c r="F438">
        <v>221.33</v>
      </c>
      <c r="G438" t="s">
        <v>2553</v>
      </c>
      <c r="H438" t="s">
        <v>3066</v>
      </c>
      <c r="I438" t="s">
        <v>3074</v>
      </c>
      <c r="J438" t="s">
        <v>3511</v>
      </c>
      <c r="K438">
        <v>5</v>
      </c>
      <c r="M438" t="s">
        <v>4282</v>
      </c>
      <c r="N438">
        <v>885.32</v>
      </c>
    </row>
    <row r="439" spans="1:14">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c r="A445" t="s">
        <v>457</v>
      </c>
      <c r="B445" s="2">
        <v>45426</v>
      </c>
      <c r="C445" t="s">
        <v>1657</v>
      </c>
      <c r="D445" t="s">
        <v>2406</v>
      </c>
      <c r="E445">
        <v>2</v>
      </c>
      <c r="F445">
        <v>69.64</v>
      </c>
      <c r="G445" t="s">
        <v>2469</v>
      </c>
      <c r="H445" t="s">
        <v>3069</v>
      </c>
      <c r="I445" t="s">
        <v>3072</v>
      </c>
      <c r="J445" t="s">
        <v>3518</v>
      </c>
      <c r="K445">
        <v>6</v>
      </c>
      <c r="M445" t="s">
        <v>4281</v>
      </c>
      <c r="N445">
        <v>139.28</v>
      </c>
    </row>
    <row r="446" spans="1:14">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c r="A449" t="s">
        <v>461</v>
      </c>
      <c r="B449" s="2">
        <v>45389</v>
      </c>
      <c r="C449" t="s">
        <v>1661</v>
      </c>
      <c r="D449" t="s">
        <v>2407</v>
      </c>
      <c r="E449">
        <v>2</v>
      </c>
      <c r="F449">
        <v>416.81</v>
      </c>
      <c r="G449" t="s">
        <v>2759</v>
      </c>
      <c r="H449" t="s">
        <v>3069</v>
      </c>
      <c r="I449" t="s">
        <v>3072</v>
      </c>
      <c r="J449" t="s">
        <v>3522</v>
      </c>
      <c r="K449">
        <v>2</v>
      </c>
      <c r="M449" t="s">
        <v>4281</v>
      </c>
      <c r="N449">
        <v>833.62</v>
      </c>
    </row>
    <row r="450" spans="1:14">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c r="A451" t="s">
        <v>463</v>
      </c>
      <c r="B451" s="2">
        <v>45530</v>
      </c>
      <c r="C451" t="s">
        <v>1663</v>
      </c>
      <c r="D451" t="s">
        <v>2405</v>
      </c>
      <c r="E451">
        <v>3</v>
      </c>
      <c r="F451">
        <v>253.05</v>
      </c>
      <c r="G451" t="s">
        <v>2761</v>
      </c>
      <c r="H451" t="s">
        <v>3066</v>
      </c>
      <c r="I451" t="s">
        <v>3074</v>
      </c>
      <c r="J451" t="s">
        <v>3524</v>
      </c>
      <c r="K451">
        <v>3</v>
      </c>
      <c r="M451" t="s">
        <v>4278</v>
      </c>
      <c r="N451">
        <v>759.15000000000009</v>
      </c>
    </row>
    <row r="452" spans="1:14">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c r="A461" t="s">
        <v>473</v>
      </c>
      <c r="B461" s="2">
        <v>45497</v>
      </c>
      <c r="C461" t="s">
        <v>1673</v>
      </c>
      <c r="D461" t="s">
        <v>2409</v>
      </c>
      <c r="E461">
        <v>1</v>
      </c>
      <c r="F461">
        <v>334.39</v>
      </c>
      <c r="G461" t="s">
        <v>2749</v>
      </c>
      <c r="H461" t="s">
        <v>3067</v>
      </c>
      <c r="I461" t="s">
        <v>3072</v>
      </c>
      <c r="J461" t="s">
        <v>3534</v>
      </c>
      <c r="K461">
        <v>2</v>
      </c>
      <c r="M461" t="s">
        <v>4278</v>
      </c>
      <c r="N461">
        <v>334.39</v>
      </c>
    </row>
    <row r="462" spans="1:14">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c r="A464" t="s">
        <v>476</v>
      </c>
      <c r="B464" s="2">
        <v>45747</v>
      </c>
      <c r="C464" t="s">
        <v>1676</v>
      </c>
      <c r="D464" t="s">
        <v>2404</v>
      </c>
      <c r="E464">
        <v>1</v>
      </c>
      <c r="F464">
        <v>252.68</v>
      </c>
      <c r="G464" t="s">
        <v>2769</v>
      </c>
      <c r="H464" t="s">
        <v>3066</v>
      </c>
      <c r="I464" t="s">
        <v>3071</v>
      </c>
      <c r="J464" t="s">
        <v>3537</v>
      </c>
      <c r="K464">
        <v>1</v>
      </c>
      <c r="M464" t="s">
        <v>4279</v>
      </c>
      <c r="N464">
        <v>252.68</v>
      </c>
    </row>
    <row r="465" spans="1:14">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c r="A467" t="s">
        <v>479</v>
      </c>
      <c r="B467" s="2">
        <v>45348</v>
      </c>
      <c r="C467" t="s">
        <v>1679</v>
      </c>
      <c r="D467" t="s">
        <v>2407</v>
      </c>
      <c r="E467">
        <v>5</v>
      </c>
      <c r="F467">
        <v>513.49</v>
      </c>
      <c r="G467" t="s">
        <v>2772</v>
      </c>
      <c r="H467" t="s">
        <v>3068</v>
      </c>
      <c r="I467" t="s">
        <v>3071</v>
      </c>
      <c r="J467" t="s">
        <v>3540</v>
      </c>
      <c r="K467">
        <v>8</v>
      </c>
      <c r="M467" t="s">
        <v>4282</v>
      </c>
      <c r="N467">
        <v>2567.4499999999998</v>
      </c>
    </row>
    <row r="468" spans="1:14">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c r="A471" t="s">
        <v>483</v>
      </c>
      <c r="B471" s="2">
        <v>45256</v>
      </c>
      <c r="C471" t="s">
        <v>1683</v>
      </c>
      <c r="D471" t="s">
        <v>2406</v>
      </c>
      <c r="E471">
        <v>5</v>
      </c>
      <c r="F471">
        <v>676.98</v>
      </c>
      <c r="G471" t="s">
        <v>2546</v>
      </c>
      <c r="H471" t="s">
        <v>3069</v>
      </c>
      <c r="I471" t="s">
        <v>3071</v>
      </c>
      <c r="J471" t="s">
        <v>3544</v>
      </c>
      <c r="K471">
        <v>5</v>
      </c>
      <c r="M471" t="s">
        <v>4281</v>
      </c>
      <c r="N471">
        <v>3384.9</v>
      </c>
    </row>
    <row r="472" spans="1:14">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c r="A475" t="s">
        <v>487</v>
      </c>
      <c r="B475" s="2">
        <v>45713</v>
      </c>
      <c r="C475" t="s">
        <v>1687</v>
      </c>
      <c r="D475" t="s">
        <v>2406</v>
      </c>
      <c r="E475">
        <v>2</v>
      </c>
      <c r="F475">
        <v>14.93</v>
      </c>
      <c r="G475" t="s">
        <v>2777</v>
      </c>
      <c r="H475" t="s">
        <v>3066</v>
      </c>
      <c r="I475" t="s">
        <v>3070</v>
      </c>
      <c r="J475" t="s">
        <v>3548</v>
      </c>
      <c r="K475">
        <v>4</v>
      </c>
      <c r="M475" t="s">
        <v>4281</v>
      </c>
      <c r="N475">
        <v>29.86</v>
      </c>
    </row>
    <row r="476" spans="1:14">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c r="A481" t="s">
        <v>493</v>
      </c>
      <c r="B481" s="2">
        <v>44975</v>
      </c>
      <c r="C481" t="s">
        <v>1693</v>
      </c>
      <c r="D481" t="s">
        <v>2403</v>
      </c>
      <c r="E481">
        <v>4</v>
      </c>
      <c r="F481">
        <v>25.29</v>
      </c>
      <c r="G481" t="s">
        <v>2781</v>
      </c>
      <c r="H481" t="s">
        <v>3067</v>
      </c>
      <c r="I481" t="s">
        <v>3074</v>
      </c>
      <c r="J481" t="s">
        <v>3554</v>
      </c>
      <c r="K481">
        <v>8</v>
      </c>
      <c r="M481" t="s">
        <v>4282</v>
      </c>
      <c r="N481">
        <v>101.16</v>
      </c>
    </row>
    <row r="482" spans="1:14">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c r="A484" t="s">
        <v>496</v>
      </c>
      <c r="B484" s="2">
        <v>45718</v>
      </c>
      <c r="C484" t="s">
        <v>1696</v>
      </c>
      <c r="D484" t="s">
        <v>2403</v>
      </c>
      <c r="E484">
        <v>3</v>
      </c>
      <c r="F484">
        <v>381.41</v>
      </c>
      <c r="G484" t="s">
        <v>2487</v>
      </c>
      <c r="H484" t="s">
        <v>3066</v>
      </c>
      <c r="I484" t="s">
        <v>3074</v>
      </c>
      <c r="J484" t="s">
        <v>3557</v>
      </c>
      <c r="K484">
        <v>6</v>
      </c>
      <c r="M484" t="s">
        <v>4278</v>
      </c>
      <c r="N484">
        <v>1144.23</v>
      </c>
    </row>
    <row r="485" spans="1:14">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c r="A486" t="s">
        <v>498</v>
      </c>
      <c r="B486" s="2">
        <v>45441</v>
      </c>
      <c r="C486" t="s">
        <v>1698</v>
      </c>
      <c r="D486" t="s">
        <v>2406</v>
      </c>
      <c r="E486">
        <v>4</v>
      </c>
      <c r="F486">
        <v>15.01</v>
      </c>
      <c r="G486" t="s">
        <v>2736</v>
      </c>
      <c r="H486" t="s">
        <v>3069</v>
      </c>
      <c r="I486" t="s">
        <v>3071</v>
      </c>
      <c r="J486" t="s">
        <v>3559</v>
      </c>
      <c r="K486">
        <v>6</v>
      </c>
      <c r="M486" t="s">
        <v>4281</v>
      </c>
      <c r="N486">
        <v>60.04</v>
      </c>
    </row>
    <row r="487" spans="1:14">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c r="A499" t="s">
        <v>511</v>
      </c>
      <c r="B499" s="2">
        <v>45589</v>
      </c>
      <c r="C499" t="s">
        <v>1711</v>
      </c>
      <c r="D499" t="s">
        <v>2407</v>
      </c>
      <c r="E499">
        <v>3</v>
      </c>
      <c r="F499">
        <v>112.29</v>
      </c>
      <c r="G499" t="s">
        <v>2790</v>
      </c>
      <c r="H499" t="s">
        <v>3068</v>
      </c>
      <c r="I499" t="s">
        <v>3070</v>
      </c>
      <c r="J499" t="s">
        <v>3572</v>
      </c>
      <c r="K499">
        <v>6</v>
      </c>
      <c r="M499" t="s">
        <v>4282</v>
      </c>
      <c r="N499">
        <v>336.87</v>
      </c>
    </row>
    <row r="500" spans="1:14">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c r="A507" t="s">
        <v>519</v>
      </c>
      <c r="B507" s="2">
        <v>45088</v>
      </c>
      <c r="C507" t="s">
        <v>1719</v>
      </c>
      <c r="D507" t="s">
        <v>2407</v>
      </c>
      <c r="E507">
        <v>2</v>
      </c>
      <c r="F507">
        <v>434.97</v>
      </c>
      <c r="G507" t="s">
        <v>2727</v>
      </c>
      <c r="H507" t="s">
        <v>3066</v>
      </c>
      <c r="I507" t="s">
        <v>3070</v>
      </c>
      <c r="J507" t="s">
        <v>3580</v>
      </c>
      <c r="K507">
        <v>7</v>
      </c>
      <c r="M507" t="s">
        <v>4280</v>
      </c>
      <c r="N507">
        <v>869.94</v>
      </c>
    </row>
    <row r="508" spans="1:14">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c r="A510" t="s">
        <v>522</v>
      </c>
      <c r="B510" s="2">
        <v>45791</v>
      </c>
      <c r="C510" t="s">
        <v>1722</v>
      </c>
      <c r="D510" t="s">
        <v>2404</v>
      </c>
      <c r="E510">
        <v>1</v>
      </c>
      <c r="F510">
        <v>558.27</v>
      </c>
      <c r="G510" t="s">
        <v>2797</v>
      </c>
      <c r="H510" t="s">
        <v>3066</v>
      </c>
      <c r="I510" t="s">
        <v>3073</v>
      </c>
      <c r="J510" t="s">
        <v>3583</v>
      </c>
      <c r="K510">
        <v>1</v>
      </c>
      <c r="M510" t="s">
        <v>4279</v>
      </c>
      <c r="N510">
        <v>558.27</v>
      </c>
    </row>
    <row r="511" spans="1:14">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c r="A515" t="s">
        <v>527</v>
      </c>
      <c r="B515" s="2">
        <v>45697</v>
      </c>
      <c r="C515" t="s">
        <v>1727</v>
      </c>
      <c r="D515" t="s">
        <v>2405</v>
      </c>
      <c r="E515">
        <v>3</v>
      </c>
      <c r="F515">
        <v>94.88</v>
      </c>
      <c r="G515" t="s">
        <v>2501</v>
      </c>
      <c r="H515" t="s">
        <v>3068</v>
      </c>
      <c r="I515" t="s">
        <v>3070</v>
      </c>
      <c r="J515" t="s">
        <v>3588</v>
      </c>
      <c r="K515">
        <v>8</v>
      </c>
      <c r="M515" t="s">
        <v>4279</v>
      </c>
      <c r="N515">
        <v>284.64</v>
      </c>
    </row>
    <row r="516" spans="1:14">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c r="A518" t="s">
        <v>530</v>
      </c>
      <c r="B518" s="2">
        <v>45389</v>
      </c>
      <c r="C518" t="s">
        <v>1730</v>
      </c>
      <c r="D518" t="s">
        <v>2403</v>
      </c>
      <c r="E518">
        <v>3</v>
      </c>
      <c r="F518">
        <v>166.99</v>
      </c>
      <c r="G518" t="s">
        <v>2659</v>
      </c>
      <c r="H518" t="s">
        <v>3069</v>
      </c>
      <c r="I518" t="s">
        <v>3072</v>
      </c>
      <c r="J518" t="s">
        <v>3591</v>
      </c>
      <c r="K518">
        <v>8</v>
      </c>
      <c r="M518" t="s">
        <v>4281</v>
      </c>
      <c r="N518">
        <v>500.97</v>
      </c>
    </row>
    <row r="519" spans="1:14">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c r="A522" t="s">
        <v>534</v>
      </c>
      <c r="B522" s="2">
        <v>44995</v>
      </c>
      <c r="C522" t="s">
        <v>1734</v>
      </c>
      <c r="D522" t="s">
        <v>2403</v>
      </c>
      <c r="E522">
        <v>3</v>
      </c>
      <c r="F522">
        <v>635.98</v>
      </c>
      <c r="G522" t="s">
        <v>2801</v>
      </c>
      <c r="H522" t="s">
        <v>3069</v>
      </c>
      <c r="I522" t="s">
        <v>3072</v>
      </c>
      <c r="J522" t="s">
        <v>3595</v>
      </c>
      <c r="K522">
        <v>5</v>
      </c>
      <c r="M522" t="s">
        <v>4279</v>
      </c>
      <c r="N522">
        <v>1907.94</v>
      </c>
    </row>
    <row r="523" spans="1:14">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c r="A526" t="s">
        <v>538</v>
      </c>
      <c r="B526" s="2">
        <v>45224</v>
      </c>
      <c r="C526" t="s">
        <v>1738</v>
      </c>
      <c r="D526" t="s">
        <v>2404</v>
      </c>
      <c r="E526">
        <v>1</v>
      </c>
      <c r="F526">
        <v>153</v>
      </c>
      <c r="G526" t="s">
        <v>2483</v>
      </c>
      <c r="H526" t="s">
        <v>3067</v>
      </c>
      <c r="I526" t="s">
        <v>3072</v>
      </c>
      <c r="J526" t="s">
        <v>3599</v>
      </c>
      <c r="K526">
        <v>4</v>
      </c>
      <c r="M526" t="s">
        <v>4279</v>
      </c>
      <c r="N526">
        <v>153</v>
      </c>
    </row>
    <row r="527" spans="1:14">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c r="A532" t="s">
        <v>544</v>
      </c>
      <c r="B532" s="2">
        <v>45491</v>
      </c>
      <c r="C532" t="s">
        <v>1744</v>
      </c>
      <c r="D532" t="s">
        <v>2406</v>
      </c>
      <c r="E532">
        <v>4</v>
      </c>
      <c r="F532">
        <v>89.41</v>
      </c>
      <c r="G532" t="s">
        <v>2804</v>
      </c>
      <c r="H532" t="s">
        <v>3066</v>
      </c>
      <c r="I532" t="s">
        <v>3074</v>
      </c>
      <c r="J532" t="s">
        <v>3605</v>
      </c>
      <c r="K532">
        <v>9</v>
      </c>
      <c r="M532" t="s">
        <v>4282</v>
      </c>
      <c r="N532">
        <v>357.64</v>
      </c>
    </row>
    <row r="533" spans="1:14">
      <c r="A533" t="s">
        <v>545</v>
      </c>
      <c r="B533" s="2">
        <v>45475</v>
      </c>
      <c r="C533" t="s">
        <v>1745</v>
      </c>
      <c r="D533" t="s">
        <v>2409</v>
      </c>
      <c r="E533">
        <v>5</v>
      </c>
      <c r="F533">
        <v>320.01</v>
      </c>
      <c r="G533" t="s">
        <v>2805</v>
      </c>
      <c r="H533" t="s">
        <v>3068</v>
      </c>
      <c r="I533" t="s">
        <v>3073</v>
      </c>
      <c r="J533" t="s">
        <v>3606</v>
      </c>
      <c r="K533">
        <v>6</v>
      </c>
      <c r="M533" t="s">
        <v>4279</v>
      </c>
      <c r="N533">
        <v>1600.05</v>
      </c>
    </row>
    <row r="534" spans="1:14">
      <c r="A534" t="s">
        <v>546</v>
      </c>
      <c r="B534" s="2">
        <v>45780</v>
      </c>
      <c r="C534" t="s">
        <v>1746</v>
      </c>
      <c r="D534" t="s">
        <v>2408</v>
      </c>
      <c r="E534">
        <v>2</v>
      </c>
      <c r="F534">
        <v>41</v>
      </c>
      <c r="G534" t="s">
        <v>2806</v>
      </c>
      <c r="H534" t="s">
        <v>3066</v>
      </c>
      <c r="I534" t="s">
        <v>3073</v>
      </c>
      <c r="J534" t="s">
        <v>3607</v>
      </c>
      <c r="K534">
        <v>7</v>
      </c>
      <c r="M534" t="s">
        <v>4280</v>
      </c>
      <c r="N534">
        <v>82</v>
      </c>
    </row>
    <row r="535" spans="1:14">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c r="A538" t="s">
        <v>550</v>
      </c>
      <c r="B538" s="2">
        <v>45452</v>
      </c>
      <c r="C538" t="s">
        <v>1750</v>
      </c>
      <c r="D538" t="s">
        <v>2406</v>
      </c>
      <c r="E538">
        <v>1</v>
      </c>
      <c r="F538">
        <v>616.1</v>
      </c>
      <c r="G538" t="s">
        <v>2808</v>
      </c>
      <c r="H538" t="s">
        <v>3069</v>
      </c>
      <c r="I538" t="s">
        <v>3072</v>
      </c>
      <c r="J538" t="s">
        <v>3611</v>
      </c>
      <c r="K538">
        <v>6</v>
      </c>
      <c r="M538" t="s">
        <v>4280</v>
      </c>
      <c r="N538">
        <v>616.1</v>
      </c>
    </row>
    <row r="539" spans="1:14">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c r="A542" t="s">
        <v>554</v>
      </c>
      <c r="B542" s="2">
        <v>45320</v>
      </c>
      <c r="C542" t="s">
        <v>1754</v>
      </c>
      <c r="D542" t="s">
        <v>2408</v>
      </c>
      <c r="E542">
        <v>5</v>
      </c>
      <c r="F542">
        <v>648.65</v>
      </c>
      <c r="G542" t="s">
        <v>2811</v>
      </c>
      <c r="H542" t="s">
        <v>3066</v>
      </c>
      <c r="I542" t="s">
        <v>3074</v>
      </c>
      <c r="J542" t="s">
        <v>3615</v>
      </c>
      <c r="K542">
        <v>7</v>
      </c>
      <c r="M542" t="s">
        <v>4279</v>
      </c>
      <c r="N542">
        <v>3243.25</v>
      </c>
    </row>
    <row r="543" spans="1:14">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c r="A547" t="s">
        <v>559</v>
      </c>
      <c r="B547" s="2">
        <v>45279</v>
      </c>
      <c r="C547" t="s">
        <v>1759</v>
      </c>
      <c r="D547" t="s">
        <v>2403</v>
      </c>
      <c r="E547">
        <v>2</v>
      </c>
      <c r="F547">
        <v>98.47</v>
      </c>
      <c r="G547" t="s">
        <v>2813</v>
      </c>
      <c r="H547" t="s">
        <v>3069</v>
      </c>
      <c r="I547" t="s">
        <v>3072</v>
      </c>
      <c r="J547" t="s">
        <v>3620</v>
      </c>
      <c r="K547">
        <v>3</v>
      </c>
      <c r="M547" t="s">
        <v>4278</v>
      </c>
      <c r="N547">
        <v>196.94</v>
      </c>
    </row>
    <row r="548" spans="1:14">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c r="A557" t="s">
        <v>569</v>
      </c>
      <c r="B557" s="2">
        <v>44933</v>
      </c>
      <c r="C557" t="s">
        <v>1769</v>
      </c>
      <c r="D557" t="s">
        <v>2405</v>
      </c>
      <c r="E557">
        <v>1</v>
      </c>
      <c r="F557">
        <v>92.04</v>
      </c>
      <c r="G557" t="s">
        <v>2420</v>
      </c>
      <c r="H557" t="s">
        <v>3069</v>
      </c>
      <c r="I557" t="s">
        <v>3070</v>
      </c>
      <c r="J557" t="s">
        <v>3630</v>
      </c>
      <c r="K557">
        <v>2</v>
      </c>
      <c r="M557" t="s">
        <v>4281</v>
      </c>
      <c r="N557">
        <v>92.04</v>
      </c>
    </row>
    <row r="558" spans="1:14">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c r="A562" t="s">
        <v>574</v>
      </c>
      <c r="B562" s="2">
        <v>44957</v>
      </c>
      <c r="C562" t="s">
        <v>1774</v>
      </c>
      <c r="D562" t="s">
        <v>2403</v>
      </c>
      <c r="E562">
        <v>4</v>
      </c>
      <c r="F562">
        <v>588.85</v>
      </c>
      <c r="G562" t="s">
        <v>2820</v>
      </c>
      <c r="H562" t="s">
        <v>3068</v>
      </c>
      <c r="I562" t="s">
        <v>3074</v>
      </c>
      <c r="J562" t="s">
        <v>3635</v>
      </c>
      <c r="K562">
        <v>7</v>
      </c>
      <c r="M562" t="s">
        <v>4280</v>
      </c>
      <c r="N562">
        <v>2355.4</v>
      </c>
    </row>
    <row r="563" spans="1:14">
      <c r="A563" t="s">
        <v>575</v>
      </c>
      <c r="B563" s="2">
        <v>44957</v>
      </c>
      <c r="C563" t="s">
        <v>1775</v>
      </c>
      <c r="D563" t="s">
        <v>2407</v>
      </c>
      <c r="E563">
        <v>2</v>
      </c>
      <c r="F563">
        <v>494.78</v>
      </c>
      <c r="G563" t="s">
        <v>2821</v>
      </c>
      <c r="H563" t="s">
        <v>3066</v>
      </c>
      <c r="I563" t="s">
        <v>3070</v>
      </c>
      <c r="J563" t="s">
        <v>3636</v>
      </c>
      <c r="K563">
        <v>2</v>
      </c>
      <c r="M563" t="s">
        <v>4282</v>
      </c>
      <c r="N563">
        <v>989.56</v>
      </c>
    </row>
    <row r="564" spans="1:14">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c r="A567" t="s">
        <v>579</v>
      </c>
      <c r="B567" s="2">
        <v>45060</v>
      </c>
      <c r="C567" t="s">
        <v>1779</v>
      </c>
      <c r="D567" t="s">
        <v>2405</v>
      </c>
      <c r="E567">
        <v>5</v>
      </c>
      <c r="F567">
        <v>307.98</v>
      </c>
      <c r="G567" t="s">
        <v>2770</v>
      </c>
      <c r="H567" t="s">
        <v>3066</v>
      </c>
      <c r="I567" t="s">
        <v>3074</v>
      </c>
      <c r="J567" t="s">
        <v>3640</v>
      </c>
      <c r="K567">
        <v>10</v>
      </c>
      <c r="M567" t="s">
        <v>4281</v>
      </c>
      <c r="N567">
        <v>1539.9</v>
      </c>
    </row>
    <row r="568" spans="1:14">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c r="A570" t="s">
        <v>582</v>
      </c>
      <c r="B570" s="2">
        <v>44995</v>
      </c>
      <c r="C570" t="s">
        <v>1782</v>
      </c>
      <c r="D570" t="s">
        <v>2408</v>
      </c>
      <c r="E570">
        <v>2</v>
      </c>
      <c r="F570">
        <v>343.99</v>
      </c>
      <c r="G570" t="s">
        <v>2714</v>
      </c>
      <c r="H570" t="s">
        <v>3066</v>
      </c>
      <c r="I570" t="s">
        <v>3073</v>
      </c>
      <c r="J570" t="s">
        <v>3643</v>
      </c>
      <c r="K570">
        <v>4</v>
      </c>
      <c r="M570" t="s">
        <v>4282</v>
      </c>
      <c r="N570">
        <v>687.98</v>
      </c>
    </row>
    <row r="571" spans="1:14">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t="s">
        <v>587</v>
      </c>
      <c r="B575" s="2">
        <v>44951</v>
      </c>
      <c r="C575" t="s">
        <v>1787</v>
      </c>
      <c r="D575" t="s">
        <v>2406</v>
      </c>
      <c r="E575">
        <v>5</v>
      </c>
      <c r="F575">
        <v>421.42</v>
      </c>
      <c r="G575" t="s">
        <v>2511</v>
      </c>
      <c r="H575" t="s">
        <v>3065</v>
      </c>
      <c r="I575" t="s">
        <v>3071</v>
      </c>
      <c r="J575" t="s">
        <v>3648</v>
      </c>
      <c r="K575">
        <v>7</v>
      </c>
      <c r="M575" t="s">
        <v>4278</v>
      </c>
      <c r="N575">
        <v>2107.1</v>
      </c>
    </row>
    <row r="576" spans="1:14">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c r="A578" t="s">
        <v>590</v>
      </c>
      <c r="B578" s="2">
        <v>45441</v>
      </c>
      <c r="C578" t="s">
        <v>1790</v>
      </c>
      <c r="D578" t="s">
        <v>2408</v>
      </c>
      <c r="E578">
        <v>5</v>
      </c>
      <c r="F578">
        <v>79.08</v>
      </c>
      <c r="G578" t="s">
        <v>2710</v>
      </c>
      <c r="H578" t="s">
        <v>3069</v>
      </c>
      <c r="I578" t="s">
        <v>3074</v>
      </c>
      <c r="J578" t="s">
        <v>3651</v>
      </c>
      <c r="K578">
        <v>8</v>
      </c>
      <c r="M578" t="s">
        <v>4281</v>
      </c>
      <c r="N578">
        <v>395.4</v>
      </c>
    </row>
    <row r="579" spans="1:14">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c r="A583" t="s">
        <v>595</v>
      </c>
      <c r="B583" s="2">
        <v>45607</v>
      </c>
      <c r="C583" t="s">
        <v>1795</v>
      </c>
      <c r="D583" t="s">
        <v>2408</v>
      </c>
      <c r="E583">
        <v>1</v>
      </c>
      <c r="F583">
        <v>627.34</v>
      </c>
      <c r="G583" t="s">
        <v>2425</v>
      </c>
      <c r="H583" t="s">
        <v>3066</v>
      </c>
      <c r="I583" t="s">
        <v>3073</v>
      </c>
      <c r="J583" t="s">
        <v>3656</v>
      </c>
      <c r="K583">
        <v>1</v>
      </c>
      <c r="M583" t="s">
        <v>4279</v>
      </c>
      <c r="N583">
        <v>627.34</v>
      </c>
    </row>
    <row r="584" spans="1:14">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c r="A585" t="s">
        <v>597</v>
      </c>
      <c r="B585" s="2">
        <v>45823</v>
      </c>
      <c r="C585" t="s">
        <v>1797</v>
      </c>
      <c r="D585" t="s">
        <v>2406</v>
      </c>
      <c r="E585">
        <v>3</v>
      </c>
      <c r="F585">
        <v>154.37</v>
      </c>
      <c r="G585" t="s">
        <v>2441</v>
      </c>
      <c r="H585" t="s">
        <v>3068</v>
      </c>
      <c r="I585" t="s">
        <v>3073</v>
      </c>
      <c r="J585" t="s">
        <v>3658</v>
      </c>
      <c r="K585">
        <v>4</v>
      </c>
      <c r="M585" t="s">
        <v>4278</v>
      </c>
      <c r="N585">
        <v>463.11</v>
      </c>
    </row>
    <row r="586" spans="1:14">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c r="A592" t="s">
        <v>604</v>
      </c>
      <c r="B592" s="2">
        <v>45179</v>
      </c>
      <c r="C592" t="s">
        <v>1804</v>
      </c>
      <c r="D592" t="s">
        <v>2407</v>
      </c>
      <c r="E592">
        <v>2</v>
      </c>
      <c r="F592">
        <v>461.13</v>
      </c>
      <c r="G592" t="s">
        <v>2831</v>
      </c>
      <c r="H592" t="s">
        <v>3068</v>
      </c>
      <c r="I592" t="s">
        <v>3072</v>
      </c>
      <c r="J592" t="s">
        <v>3665</v>
      </c>
      <c r="K592">
        <v>4</v>
      </c>
      <c r="M592" t="s">
        <v>4280</v>
      </c>
      <c r="N592">
        <v>922.26</v>
      </c>
    </row>
    <row r="593" spans="1:14">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c r="A594" t="s">
        <v>606</v>
      </c>
      <c r="B594" s="2">
        <v>45405</v>
      </c>
      <c r="C594" t="s">
        <v>1806</v>
      </c>
      <c r="D594" t="s">
        <v>2404</v>
      </c>
      <c r="E594">
        <v>3</v>
      </c>
      <c r="F594">
        <v>204.27</v>
      </c>
      <c r="G594" t="s">
        <v>2803</v>
      </c>
      <c r="H594" t="s">
        <v>3066</v>
      </c>
      <c r="I594" t="s">
        <v>3072</v>
      </c>
      <c r="J594" t="s">
        <v>3667</v>
      </c>
      <c r="K594">
        <v>4</v>
      </c>
      <c r="M594" t="s">
        <v>4282</v>
      </c>
      <c r="N594">
        <v>612.81000000000006</v>
      </c>
    </row>
    <row r="595" spans="1:14">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c r="A596" t="s">
        <v>608</v>
      </c>
      <c r="B596" s="2">
        <v>45343</v>
      </c>
      <c r="C596" t="s">
        <v>1808</v>
      </c>
      <c r="D596" t="s">
        <v>2404</v>
      </c>
      <c r="E596">
        <v>5</v>
      </c>
      <c r="F596">
        <v>72.64</v>
      </c>
      <c r="G596" t="s">
        <v>2538</v>
      </c>
      <c r="H596" t="s">
        <v>3067</v>
      </c>
      <c r="I596" t="s">
        <v>3071</v>
      </c>
      <c r="J596" t="s">
        <v>3669</v>
      </c>
      <c r="K596">
        <v>7</v>
      </c>
      <c r="M596" t="s">
        <v>4280</v>
      </c>
      <c r="N596">
        <v>363.2</v>
      </c>
    </row>
    <row r="597" spans="1:14">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c r="A600" t="s">
        <v>612</v>
      </c>
      <c r="B600" s="2">
        <v>45408</v>
      </c>
      <c r="C600" t="s">
        <v>1812</v>
      </c>
      <c r="D600" t="s">
        <v>2409</v>
      </c>
      <c r="E600">
        <v>5</v>
      </c>
      <c r="F600">
        <v>495.35</v>
      </c>
      <c r="G600" t="s">
        <v>2693</v>
      </c>
      <c r="H600" t="s">
        <v>3067</v>
      </c>
      <c r="I600" t="s">
        <v>3074</v>
      </c>
      <c r="J600" t="s">
        <v>3673</v>
      </c>
      <c r="K600">
        <v>5</v>
      </c>
      <c r="M600" t="s">
        <v>4281</v>
      </c>
      <c r="N600">
        <v>2476.75</v>
      </c>
    </row>
    <row r="601" spans="1:14">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c r="A603" t="s">
        <v>615</v>
      </c>
      <c r="B603" s="2">
        <v>45201</v>
      </c>
      <c r="C603" t="s">
        <v>1815</v>
      </c>
      <c r="D603" t="s">
        <v>2403</v>
      </c>
      <c r="E603">
        <v>5</v>
      </c>
      <c r="F603">
        <v>24.82</v>
      </c>
      <c r="G603" t="s">
        <v>2836</v>
      </c>
      <c r="H603" t="s">
        <v>3067</v>
      </c>
      <c r="I603" t="s">
        <v>3070</v>
      </c>
      <c r="J603" t="s">
        <v>3676</v>
      </c>
      <c r="K603">
        <v>10</v>
      </c>
      <c r="M603" t="s">
        <v>4279</v>
      </c>
      <c r="N603">
        <v>124.1</v>
      </c>
    </row>
    <row r="604" spans="1:14">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c r="A614" t="s">
        <v>626</v>
      </c>
      <c r="B614" s="2">
        <v>45079</v>
      </c>
      <c r="C614" t="s">
        <v>1825</v>
      </c>
      <c r="D614" t="s">
        <v>2406</v>
      </c>
      <c r="E614">
        <v>3</v>
      </c>
      <c r="F614">
        <v>445.12</v>
      </c>
      <c r="G614" t="s">
        <v>2678</v>
      </c>
      <c r="H614" t="s">
        <v>3068</v>
      </c>
      <c r="I614" t="s">
        <v>3071</v>
      </c>
      <c r="J614" t="s">
        <v>3687</v>
      </c>
      <c r="K614">
        <v>8</v>
      </c>
      <c r="M614" t="s">
        <v>4282</v>
      </c>
      <c r="N614">
        <v>1335.36</v>
      </c>
    </row>
    <row r="615" spans="1:14">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c r="A616" t="s">
        <v>628</v>
      </c>
      <c r="B616" s="2">
        <v>45359</v>
      </c>
      <c r="C616" t="s">
        <v>1827</v>
      </c>
      <c r="D616" t="s">
        <v>2404</v>
      </c>
      <c r="E616">
        <v>1</v>
      </c>
      <c r="F616">
        <v>96.81</v>
      </c>
      <c r="G616" t="s">
        <v>2521</v>
      </c>
      <c r="H616" t="s">
        <v>3068</v>
      </c>
      <c r="I616" t="s">
        <v>3071</v>
      </c>
      <c r="J616" t="s">
        <v>3689</v>
      </c>
      <c r="K616">
        <v>3</v>
      </c>
      <c r="M616" t="s">
        <v>4279</v>
      </c>
      <c r="N616">
        <v>96.81</v>
      </c>
    </row>
    <row r="617" spans="1:14">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c r="A619" t="s">
        <v>631</v>
      </c>
      <c r="B619" s="2">
        <v>45330</v>
      </c>
      <c r="C619" t="s">
        <v>1830</v>
      </c>
      <c r="D619" t="s">
        <v>2405</v>
      </c>
      <c r="E619">
        <v>3</v>
      </c>
      <c r="F619">
        <v>184.47</v>
      </c>
      <c r="G619" t="s">
        <v>2844</v>
      </c>
      <c r="H619" t="s">
        <v>3066</v>
      </c>
      <c r="I619" t="s">
        <v>3071</v>
      </c>
      <c r="J619" t="s">
        <v>3692</v>
      </c>
      <c r="K619">
        <v>4</v>
      </c>
      <c r="M619" t="s">
        <v>4279</v>
      </c>
      <c r="N619">
        <v>553.41</v>
      </c>
    </row>
    <row r="620" spans="1:14">
      <c r="A620" t="s">
        <v>632</v>
      </c>
      <c r="B620" s="2">
        <v>45538</v>
      </c>
      <c r="C620" t="s">
        <v>1831</v>
      </c>
      <c r="D620" t="s">
        <v>2405</v>
      </c>
      <c r="E620">
        <v>1</v>
      </c>
      <c r="F620">
        <v>411.34</v>
      </c>
      <c r="G620" t="s">
        <v>2845</v>
      </c>
      <c r="H620" t="s">
        <v>3065</v>
      </c>
      <c r="I620" t="s">
        <v>3072</v>
      </c>
      <c r="J620" t="s">
        <v>3693</v>
      </c>
      <c r="K620">
        <v>5</v>
      </c>
      <c r="M620" t="s">
        <v>4278</v>
      </c>
      <c r="N620">
        <v>411.34</v>
      </c>
    </row>
    <row r="621" spans="1:14">
      <c r="A621" t="s">
        <v>633</v>
      </c>
      <c r="B621" s="2">
        <v>45489</v>
      </c>
      <c r="C621" t="s">
        <v>1832</v>
      </c>
      <c r="D621" t="s">
        <v>2408</v>
      </c>
      <c r="E621">
        <v>1</v>
      </c>
      <c r="F621">
        <v>532.89</v>
      </c>
      <c r="G621" t="s">
        <v>2783</v>
      </c>
      <c r="H621" t="s">
        <v>3068</v>
      </c>
      <c r="I621" t="s">
        <v>3074</v>
      </c>
      <c r="J621" t="s">
        <v>3694</v>
      </c>
      <c r="K621">
        <v>2</v>
      </c>
      <c r="M621" t="s">
        <v>4279</v>
      </c>
      <c r="N621">
        <v>532.89</v>
      </c>
    </row>
    <row r="622" spans="1:14">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c r="A624" t="s">
        <v>636</v>
      </c>
      <c r="B624" s="2">
        <v>45598</v>
      </c>
      <c r="C624" t="s">
        <v>1835</v>
      </c>
      <c r="D624" t="s">
        <v>2409</v>
      </c>
      <c r="E624">
        <v>5</v>
      </c>
      <c r="F624">
        <v>236.38</v>
      </c>
      <c r="G624" t="s">
        <v>2445</v>
      </c>
      <c r="H624" t="s">
        <v>3067</v>
      </c>
      <c r="I624" t="s">
        <v>3072</v>
      </c>
      <c r="J624" t="s">
        <v>3697</v>
      </c>
      <c r="K624">
        <v>7</v>
      </c>
      <c r="M624" t="s">
        <v>4281</v>
      </c>
      <c r="N624">
        <v>1181.9000000000001</v>
      </c>
    </row>
    <row r="625" spans="1:14">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c r="A626" t="s">
        <v>638</v>
      </c>
      <c r="B626" s="2">
        <v>45307</v>
      </c>
      <c r="C626" t="s">
        <v>1837</v>
      </c>
      <c r="D626" t="s">
        <v>2405</v>
      </c>
      <c r="E626">
        <v>5</v>
      </c>
      <c r="F626">
        <v>341.96</v>
      </c>
      <c r="G626" t="s">
        <v>2710</v>
      </c>
      <c r="H626" t="s">
        <v>3065</v>
      </c>
      <c r="I626" t="s">
        <v>3073</v>
      </c>
      <c r="J626" t="s">
        <v>3699</v>
      </c>
      <c r="K626">
        <v>6</v>
      </c>
      <c r="M626" t="s">
        <v>4280</v>
      </c>
      <c r="N626">
        <v>1709.8</v>
      </c>
    </row>
    <row r="627" spans="1:14">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c r="A631" t="s">
        <v>643</v>
      </c>
      <c r="B631" s="2">
        <v>45114</v>
      </c>
      <c r="C631" t="s">
        <v>1842</v>
      </c>
      <c r="D631" t="s">
        <v>2404</v>
      </c>
      <c r="E631">
        <v>3</v>
      </c>
      <c r="F631">
        <v>19.73</v>
      </c>
      <c r="G631" t="s">
        <v>2850</v>
      </c>
      <c r="H631" t="s">
        <v>3066</v>
      </c>
      <c r="I631" t="s">
        <v>3074</v>
      </c>
      <c r="J631" t="s">
        <v>3704</v>
      </c>
      <c r="K631">
        <v>3</v>
      </c>
      <c r="M631" t="s">
        <v>4279</v>
      </c>
      <c r="N631">
        <v>59.19</v>
      </c>
    </row>
    <row r="632" spans="1:14">
      <c r="A632" t="s">
        <v>644</v>
      </c>
      <c r="B632" s="2">
        <v>45100</v>
      </c>
      <c r="C632" t="s">
        <v>1843</v>
      </c>
      <c r="D632" t="s">
        <v>2403</v>
      </c>
      <c r="E632">
        <v>5</v>
      </c>
      <c r="F632">
        <v>248.84</v>
      </c>
      <c r="G632" t="s">
        <v>2851</v>
      </c>
      <c r="H632" t="s">
        <v>3065</v>
      </c>
      <c r="I632" t="s">
        <v>3071</v>
      </c>
      <c r="J632" t="s">
        <v>3705</v>
      </c>
      <c r="K632">
        <v>10</v>
      </c>
      <c r="M632" t="s">
        <v>4278</v>
      </c>
      <c r="N632">
        <v>1244.2</v>
      </c>
    </row>
    <row r="633" spans="1:14">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c r="A637" t="s">
        <v>649</v>
      </c>
      <c r="B637" s="2">
        <v>45273</v>
      </c>
      <c r="C637" t="s">
        <v>1848</v>
      </c>
      <c r="D637" t="s">
        <v>2406</v>
      </c>
      <c r="E637">
        <v>3</v>
      </c>
      <c r="F637">
        <v>63.68</v>
      </c>
      <c r="G637" t="s">
        <v>2458</v>
      </c>
      <c r="H637" t="s">
        <v>3069</v>
      </c>
      <c r="I637" t="s">
        <v>3072</v>
      </c>
      <c r="J637" t="s">
        <v>3710</v>
      </c>
      <c r="K637">
        <v>6</v>
      </c>
      <c r="M637" t="s">
        <v>4281</v>
      </c>
      <c r="N637">
        <v>191.04</v>
      </c>
    </row>
    <row r="638" spans="1:14">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c r="A653" t="s">
        <v>665</v>
      </c>
      <c r="B653" s="2">
        <v>45608</v>
      </c>
      <c r="C653" t="s">
        <v>1864</v>
      </c>
      <c r="D653" t="s">
        <v>2406</v>
      </c>
      <c r="E653">
        <v>3</v>
      </c>
      <c r="F653">
        <v>646.34</v>
      </c>
      <c r="G653" t="s">
        <v>2584</v>
      </c>
      <c r="H653" t="s">
        <v>3065</v>
      </c>
      <c r="I653" t="s">
        <v>3074</v>
      </c>
      <c r="J653" t="s">
        <v>3726</v>
      </c>
      <c r="K653">
        <v>5</v>
      </c>
      <c r="M653" t="s">
        <v>4282</v>
      </c>
      <c r="N653">
        <v>1939.02</v>
      </c>
    </row>
    <row r="654" spans="1:14">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c r="A656" t="s">
        <v>668</v>
      </c>
      <c r="B656" s="2">
        <v>45089</v>
      </c>
      <c r="C656" t="s">
        <v>1867</v>
      </c>
      <c r="D656" t="s">
        <v>2405</v>
      </c>
      <c r="E656">
        <v>3</v>
      </c>
      <c r="F656">
        <v>382.37</v>
      </c>
      <c r="G656" t="s">
        <v>2861</v>
      </c>
      <c r="H656" t="s">
        <v>3065</v>
      </c>
      <c r="I656" t="s">
        <v>3072</v>
      </c>
      <c r="J656" t="s">
        <v>3729</v>
      </c>
      <c r="K656">
        <v>8</v>
      </c>
      <c r="M656" t="s">
        <v>4278</v>
      </c>
      <c r="N656">
        <v>1147.1099999999999</v>
      </c>
    </row>
    <row r="657" spans="1:14">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c r="A664" t="s">
        <v>676</v>
      </c>
      <c r="B664" s="2">
        <v>44954</v>
      </c>
      <c r="C664" t="s">
        <v>1875</v>
      </c>
      <c r="D664" t="s">
        <v>2408</v>
      </c>
      <c r="E664">
        <v>3</v>
      </c>
      <c r="F664">
        <v>438.89</v>
      </c>
      <c r="G664" t="s">
        <v>2864</v>
      </c>
      <c r="H664" t="s">
        <v>3069</v>
      </c>
      <c r="I664" t="s">
        <v>3072</v>
      </c>
      <c r="J664" t="s">
        <v>3737</v>
      </c>
      <c r="K664">
        <v>3</v>
      </c>
      <c r="M664" t="s">
        <v>4281</v>
      </c>
      <c r="N664">
        <v>1316.67</v>
      </c>
    </row>
    <row r="665" spans="1:14">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t="s">
        <v>678</v>
      </c>
      <c r="B666" s="2">
        <v>45645</v>
      </c>
      <c r="C666" t="s">
        <v>1450</v>
      </c>
      <c r="D666" t="s">
        <v>2408</v>
      </c>
      <c r="E666">
        <v>4</v>
      </c>
      <c r="F666">
        <v>194.75</v>
      </c>
      <c r="G666" t="s">
        <v>2865</v>
      </c>
      <c r="H666" t="s">
        <v>3069</v>
      </c>
      <c r="I666" t="s">
        <v>3070</v>
      </c>
      <c r="J666" t="s">
        <v>3739</v>
      </c>
      <c r="K666">
        <v>5</v>
      </c>
      <c r="M666" t="s">
        <v>4281</v>
      </c>
      <c r="N666">
        <v>779</v>
      </c>
    </row>
    <row r="667" spans="1:14">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c r="A668" t="s">
        <v>680</v>
      </c>
      <c r="B668" s="2">
        <v>45535</v>
      </c>
      <c r="C668" t="s">
        <v>1878</v>
      </c>
      <c r="D668" t="s">
        <v>2403</v>
      </c>
      <c r="E668">
        <v>4</v>
      </c>
      <c r="F668">
        <v>327.12</v>
      </c>
      <c r="G668" t="s">
        <v>2840</v>
      </c>
      <c r="H668" t="s">
        <v>3067</v>
      </c>
      <c r="I668" t="s">
        <v>3071</v>
      </c>
      <c r="J668" t="s">
        <v>3741</v>
      </c>
      <c r="K668">
        <v>4</v>
      </c>
      <c r="M668" t="s">
        <v>4280</v>
      </c>
      <c r="N668">
        <v>1308.48</v>
      </c>
    </row>
    <row r="669" spans="1:14">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c r="A671" t="s">
        <v>683</v>
      </c>
      <c r="B671" s="2">
        <v>44962</v>
      </c>
      <c r="C671" t="s">
        <v>1881</v>
      </c>
      <c r="D671" t="s">
        <v>2409</v>
      </c>
      <c r="E671">
        <v>1</v>
      </c>
      <c r="F671">
        <v>257</v>
      </c>
      <c r="G671" t="s">
        <v>2867</v>
      </c>
      <c r="H671" t="s">
        <v>3065</v>
      </c>
      <c r="I671" t="s">
        <v>3071</v>
      </c>
      <c r="J671" t="s">
        <v>3744</v>
      </c>
      <c r="K671">
        <v>5</v>
      </c>
      <c r="M671" t="s">
        <v>4279</v>
      </c>
      <c r="N671">
        <v>257</v>
      </c>
    </row>
    <row r="672" spans="1:14">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c r="A677" t="s">
        <v>689</v>
      </c>
      <c r="B677" s="2">
        <v>45510</v>
      </c>
      <c r="C677" t="s">
        <v>1887</v>
      </c>
      <c r="D677" t="s">
        <v>2409</v>
      </c>
      <c r="E677">
        <v>3</v>
      </c>
      <c r="F677">
        <v>342.02</v>
      </c>
      <c r="G677" t="s">
        <v>2807</v>
      </c>
      <c r="H677" t="s">
        <v>3065</v>
      </c>
      <c r="I677" t="s">
        <v>3074</v>
      </c>
      <c r="J677" t="s">
        <v>3750</v>
      </c>
      <c r="K677">
        <v>5</v>
      </c>
      <c r="M677" t="s">
        <v>4280</v>
      </c>
      <c r="N677">
        <v>1026.06</v>
      </c>
    </row>
    <row r="678" spans="1:14">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c r="A682" t="s">
        <v>694</v>
      </c>
      <c r="B682" s="2">
        <v>45165</v>
      </c>
      <c r="C682" t="s">
        <v>1892</v>
      </c>
      <c r="D682" t="s">
        <v>2403</v>
      </c>
      <c r="E682">
        <v>3</v>
      </c>
      <c r="F682">
        <v>463.39</v>
      </c>
      <c r="G682" t="s">
        <v>2869</v>
      </c>
      <c r="H682" t="s">
        <v>3067</v>
      </c>
      <c r="I682" t="s">
        <v>3072</v>
      </c>
      <c r="J682" t="s">
        <v>3755</v>
      </c>
      <c r="K682">
        <v>3</v>
      </c>
      <c r="M682" t="s">
        <v>4281</v>
      </c>
      <c r="N682">
        <v>1390.17</v>
      </c>
    </row>
    <row r="683" spans="1:14">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c r="A691" t="s">
        <v>703</v>
      </c>
      <c r="B691" s="2">
        <v>45167</v>
      </c>
      <c r="C691" t="s">
        <v>1901</v>
      </c>
      <c r="D691" t="s">
        <v>2405</v>
      </c>
      <c r="E691">
        <v>2</v>
      </c>
      <c r="F691">
        <v>444.84</v>
      </c>
      <c r="G691" t="s">
        <v>2876</v>
      </c>
      <c r="H691" t="s">
        <v>3066</v>
      </c>
      <c r="I691" t="s">
        <v>3070</v>
      </c>
      <c r="J691" t="s">
        <v>3764</v>
      </c>
      <c r="K691">
        <v>7</v>
      </c>
      <c r="M691" t="s">
        <v>4281</v>
      </c>
      <c r="N691">
        <v>889.68</v>
      </c>
    </row>
    <row r="692" spans="1:14">
      <c r="A692" t="s">
        <v>704</v>
      </c>
      <c r="B692" s="2">
        <v>45485</v>
      </c>
      <c r="C692" t="s">
        <v>1902</v>
      </c>
      <c r="D692" t="s">
        <v>2403</v>
      </c>
      <c r="E692">
        <v>1</v>
      </c>
      <c r="F692">
        <v>24.48</v>
      </c>
      <c r="G692" t="s">
        <v>2445</v>
      </c>
      <c r="H692" t="s">
        <v>3068</v>
      </c>
      <c r="I692" t="s">
        <v>3072</v>
      </c>
      <c r="J692" t="s">
        <v>3765</v>
      </c>
      <c r="K692">
        <v>1</v>
      </c>
      <c r="M692" t="s">
        <v>4278</v>
      </c>
      <c r="N692">
        <v>24.48</v>
      </c>
    </row>
    <row r="693" spans="1:14">
      <c r="A693" t="s">
        <v>705</v>
      </c>
      <c r="B693" s="2">
        <v>45620</v>
      </c>
      <c r="C693" t="s">
        <v>1903</v>
      </c>
      <c r="D693" t="s">
        <v>2408</v>
      </c>
      <c r="E693">
        <v>3</v>
      </c>
      <c r="F693">
        <v>239.08</v>
      </c>
      <c r="G693" t="s">
        <v>2877</v>
      </c>
      <c r="H693" t="s">
        <v>3069</v>
      </c>
      <c r="I693" t="s">
        <v>3070</v>
      </c>
      <c r="J693" t="s">
        <v>3766</v>
      </c>
      <c r="K693">
        <v>8</v>
      </c>
      <c r="M693" t="s">
        <v>4282</v>
      </c>
      <c r="N693">
        <v>717.24</v>
      </c>
    </row>
    <row r="694" spans="1:14">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c r="A695" t="s">
        <v>707</v>
      </c>
      <c r="B695" s="2">
        <v>45728</v>
      </c>
      <c r="C695" t="s">
        <v>1905</v>
      </c>
      <c r="D695" t="s">
        <v>2403</v>
      </c>
      <c r="E695">
        <v>1</v>
      </c>
      <c r="F695">
        <v>176.58</v>
      </c>
      <c r="G695" t="s">
        <v>2878</v>
      </c>
      <c r="H695" t="s">
        <v>3065</v>
      </c>
      <c r="I695" t="s">
        <v>3072</v>
      </c>
      <c r="J695" t="s">
        <v>3768</v>
      </c>
      <c r="K695">
        <v>4</v>
      </c>
      <c r="M695" t="s">
        <v>4279</v>
      </c>
      <c r="N695">
        <v>176.58</v>
      </c>
    </row>
    <row r="696" spans="1:14">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c r="A701" t="s">
        <v>713</v>
      </c>
      <c r="B701" s="2">
        <v>45243</v>
      </c>
      <c r="C701" t="s">
        <v>1911</v>
      </c>
      <c r="D701" t="s">
        <v>2408</v>
      </c>
      <c r="E701">
        <v>3</v>
      </c>
      <c r="F701">
        <v>614.15</v>
      </c>
      <c r="G701" t="s">
        <v>2880</v>
      </c>
      <c r="H701" t="s">
        <v>3068</v>
      </c>
      <c r="I701" t="s">
        <v>3071</v>
      </c>
      <c r="J701" t="s">
        <v>3774</v>
      </c>
      <c r="K701">
        <v>3</v>
      </c>
      <c r="M701" t="s">
        <v>4281</v>
      </c>
      <c r="N701">
        <v>1842.45</v>
      </c>
    </row>
    <row r="702" spans="1:14">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c r="A712" t="s">
        <v>724</v>
      </c>
      <c r="B712" s="2">
        <v>45495</v>
      </c>
      <c r="C712" t="s">
        <v>1922</v>
      </c>
      <c r="D712" t="s">
        <v>2408</v>
      </c>
      <c r="E712">
        <v>5</v>
      </c>
      <c r="F712">
        <v>21.54</v>
      </c>
      <c r="G712" t="s">
        <v>2885</v>
      </c>
      <c r="H712" t="s">
        <v>3068</v>
      </c>
      <c r="I712" t="s">
        <v>3072</v>
      </c>
      <c r="J712" t="s">
        <v>3785</v>
      </c>
      <c r="K712">
        <v>10</v>
      </c>
      <c r="M712" t="s">
        <v>4282</v>
      </c>
      <c r="N712">
        <v>107.7</v>
      </c>
    </row>
    <row r="713" spans="1:14">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c r="A723" t="s">
        <v>735</v>
      </c>
      <c r="B723" s="2">
        <v>45369</v>
      </c>
      <c r="C723" t="s">
        <v>1932</v>
      </c>
      <c r="D723" t="s">
        <v>2409</v>
      </c>
      <c r="E723">
        <v>2</v>
      </c>
      <c r="F723">
        <v>118.59</v>
      </c>
      <c r="G723" t="s">
        <v>2893</v>
      </c>
      <c r="H723" t="s">
        <v>3067</v>
      </c>
      <c r="I723" t="s">
        <v>3073</v>
      </c>
      <c r="J723" t="s">
        <v>3796</v>
      </c>
      <c r="K723">
        <v>2</v>
      </c>
      <c r="M723" t="s">
        <v>4280</v>
      </c>
      <c r="N723">
        <v>237.18</v>
      </c>
    </row>
    <row r="724" spans="1:14">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c r="A727" t="s">
        <v>739</v>
      </c>
      <c r="B727" s="2">
        <v>44997</v>
      </c>
      <c r="C727" t="s">
        <v>1936</v>
      </c>
      <c r="D727" t="s">
        <v>2406</v>
      </c>
      <c r="E727">
        <v>2</v>
      </c>
      <c r="F727">
        <v>194.85</v>
      </c>
      <c r="G727" t="s">
        <v>2787</v>
      </c>
      <c r="H727" t="s">
        <v>3068</v>
      </c>
      <c r="I727" t="s">
        <v>3072</v>
      </c>
      <c r="J727" t="s">
        <v>3800</v>
      </c>
      <c r="K727">
        <v>5</v>
      </c>
      <c r="M727" t="s">
        <v>4279</v>
      </c>
      <c r="N727">
        <v>389.7</v>
      </c>
    </row>
    <row r="728" spans="1:14">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c r="A733" t="s">
        <v>745</v>
      </c>
      <c r="B733" s="2">
        <v>45450</v>
      </c>
      <c r="C733" t="s">
        <v>1942</v>
      </c>
      <c r="D733" t="s">
        <v>2407</v>
      </c>
      <c r="E733">
        <v>5</v>
      </c>
      <c r="F733">
        <v>584.46</v>
      </c>
      <c r="G733" t="s">
        <v>2896</v>
      </c>
      <c r="H733" t="s">
        <v>3067</v>
      </c>
      <c r="I733" t="s">
        <v>3072</v>
      </c>
      <c r="J733" t="s">
        <v>3806</v>
      </c>
      <c r="K733">
        <v>8</v>
      </c>
      <c r="M733" t="s">
        <v>4280</v>
      </c>
      <c r="N733">
        <v>2922.3</v>
      </c>
    </row>
    <row r="734" spans="1:14">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c r="A737" t="s">
        <v>749</v>
      </c>
      <c r="B737" s="2">
        <v>45471</v>
      </c>
      <c r="C737" t="s">
        <v>1946</v>
      </c>
      <c r="D737" t="s">
        <v>2403</v>
      </c>
      <c r="E737">
        <v>4</v>
      </c>
      <c r="F737">
        <v>44.07</v>
      </c>
      <c r="G737" t="s">
        <v>2729</v>
      </c>
      <c r="H737" t="s">
        <v>3065</v>
      </c>
      <c r="I737" t="s">
        <v>3074</v>
      </c>
      <c r="J737" t="s">
        <v>3810</v>
      </c>
      <c r="K737">
        <v>6</v>
      </c>
      <c r="M737" t="s">
        <v>4280</v>
      </c>
      <c r="N737">
        <v>176.28</v>
      </c>
    </row>
    <row r="738" spans="1:14">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c r="A742" t="s">
        <v>754</v>
      </c>
      <c r="B742" s="2">
        <v>45493</v>
      </c>
      <c r="C742" t="s">
        <v>1951</v>
      </c>
      <c r="D742" t="s">
        <v>2409</v>
      </c>
      <c r="E742">
        <v>2</v>
      </c>
      <c r="F742">
        <v>377.47</v>
      </c>
      <c r="G742" t="s">
        <v>2749</v>
      </c>
      <c r="H742" t="s">
        <v>3069</v>
      </c>
      <c r="I742" t="s">
        <v>3074</v>
      </c>
      <c r="J742" t="s">
        <v>3815</v>
      </c>
      <c r="K742">
        <v>7</v>
      </c>
      <c r="M742" t="s">
        <v>4282</v>
      </c>
      <c r="N742">
        <v>754.94</v>
      </c>
    </row>
    <row r="743" spans="1:14">
      <c r="A743" t="s">
        <v>755</v>
      </c>
      <c r="B743" s="2">
        <v>45680</v>
      </c>
      <c r="C743" t="s">
        <v>1952</v>
      </c>
      <c r="D743" t="s">
        <v>2403</v>
      </c>
      <c r="E743">
        <v>5</v>
      </c>
      <c r="F743">
        <v>332.64</v>
      </c>
      <c r="G743" t="s">
        <v>2899</v>
      </c>
      <c r="H743" t="s">
        <v>3068</v>
      </c>
      <c r="I743" t="s">
        <v>3073</v>
      </c>
      <c r="J743" t="s">
        <v>3816</v>
      </c>
      <c r="K743">
        <v>10</v>
      </c>
      <c r="M743" t="s">
        <v>4279</v>
      </c>
      <c r="N743">
        <v>1663.2</v>
      </c>
    </row>
    <row r="744" spans="1:14">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c r="A757" t="s">
        <v>769</v>
      </c>
      <c r="B757" s="2">
        <v>45090</v>
      </c>
      <c r="C757" t="s">
        <v>1966</v>
      </c>
      <c r="D757" t="s">
        <v>2409</v>
      </c>
      <c r="E757">
        <v>3</v>
      </c>
      <c r="F757">
        <v>336.71</v>
      </c>
      <c r="G757" t="s">
        <v>2909</v>
      </c>
      <c r="H757" t="s">
        <v>3067</v>
      </c>
      <c r="I757" t="s">
        <v>3074</v>
      </c>
      <c r="J757" t="s">
        <v>3830</v>
      </c>
      <c r="K757">
        <v>4</v>
      </c>
      <c r="M757" t="s">
        <v>4280</v>
      </c>
      <c r="N757">
        <v>1010.13</v>
      </c>
    </row>
    <row r="758" spans="1:14">
      <c r="A758" t="s">
        <v>770</v>
      </c>
      <c r="B758" s="2">
        <v>45470</v>
      </c>
      <c r="C758" t="s">
        <v>1967</v>
      </c>
      <c r="D758" t="s">
        <v>2404</v>
      </c>
      <c r="E758">
        <v>1</v>
      </c>
      <c r="F758">
        <v>283.69</v>
      </c>
      <c r="G758" t="s">
        <v>2464</v>
      </c>
      <c r="H758" t="s">
        <v>3068</v>
      </c>
      <c r="I758" t="s">
        <v>3070</v>
      </c>
      <c r="J758" t="s">
        <v>3831</v>
      </c>
      <c r="K758">
        <v>6</v>
      </c>
      <c r="M758" t="s">
        <v>4282</v>
      </c>
      <c r="N758">
        <v>283.69</v>
      </c>
    </row>
    <row r="759" spans="1:14">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c r="A762" t="s">
        <v>774</v>
      </c>
      <c r="B762" s="2">
        <v>45706</v>
      </c>
      <c r="C762" t="s">
        <v>1971</v>
      </c>
      <c r="D762" t="s">
        <v>2409</v>
      </c>
      <c r="E762">
        <v>1</v>
      </c>
      <c r="F762">
        <v>39.56</v>
      </c>
      <c r="G762" t="s">
        <v>2570</v>
      </c>
      <c r="H762" t="s">
        <v>3065</v>
      </c>
      <c r="I762" t="s">
        <v>3071</v>
      </c>
      <c r="J762" t="s">
        <v>3835</v>
      </c>
      <c r="K762">
        <v>5</v>
      </c>
      <c r="M762" t="s">
        <v>4282</v>
      </c>
      <c r="N762">
        <v>39.56</v>
      </c>
    </row>
    <row r="763" spans="1:14">
      <c r="A763" t="s">
        <v>775</v>
      </c>
      <c r="B763" s="2">
        <v>45079</v>
      </c>
      <c r="C763" t="s">
        <v>1972</v>
      </c>
      <c r="D763" t="s">
        <v>2409</v>
      </c>
      <c r="E763">
        <v>4</v>
      </c>
      <c r="F763">
        <v>37.76</v>
      </c>
      <c r="G763" t="s">
        <v>2911</v>
      </c>
      <c r="H763" t="s">
        <v>3065</v>
      </c>
      <c r="I763" t="s">
        <v>3073</v>
      </c>
      <c r="J763" t="s">
        <v>3836</v>
      </c>
      <c r="K763">
        <v>7</v>
      </c>
      <c r="M763" t="s">
        <v>4282</v>
      </c>
      <c r="N763">
        <v>151.04</v>
      </c>
    </row>
    <row r="764" spans="1:14">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c r="A771" t="s">
        <v>783</v>
      </c>
      <c r="B771" s="2">
        <v>45113</v>
      </c>
      <c r="C771" t="s">
        <v>1980</v>
      </c>
      <c r="D771" t="s">
        <v>2407</v>
      </c>
      <c r="E771">
        <v>4</v>
      </c>
      <c r="F771">
        <v>678.55</v>
      </c>
      <c r="G771" t="s">
        <v>2438</v>
      </c>
      <c r="H771" t="s">
        <v>3069</v>
      </c>
      <c r="I771" t="s">
        <v>3073</v>
      </c>
      <c r="J771" t="s">
        <v>3844</v>
      </c>
      <c r="K771">
        <v>5</v>
      </c>
      <c r="M771" t="s">
        <v>4280</v>
      </c>
      <c r="N771">
        <v>2714.2</v>
      </c>
    </row>
    <row r="772" spans="1:14">
      <c r="A772" t="s">
        <v>784</v>
      </c>
      <c r="B772" s="2">
        <v>45333</v>
      </c>
      <c r="C772" t="s">
        <v>1981</v>
      </c>
      <c r="D772" t="s">
        <v>2409</v>
      </c>
      <c r="E772">
        <v>1</v>
      </c>
      <c r="F772">
        <v>314.38</v>
      </c>
      <c r="G772" t="s">
        <v>2757</v>
      </c>
      <c r="H772" t="s">
        <v>3066</v>
      </c>
      <c r="I772" t="s">
        <v>3072</v>
      </c>
      <c r="J772" t="s">
        <v>3845</v>
      </c>
      <c r="K772">
        <v>6</v>
      </c>
      <c r="M772" t="s">
        <v>4282</v>
      </c>
      <c r="N772">
        <v>314.38</v>
      </c>
    </row>
    <row r="773" spans="1:14">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c r="A774" t="s">
        <v>786</v>
      </c>
      <c r="B774" s="2">
        <v>45501</v>
      </c>
      <c r="C774" t="s">
        <v>1983</v>
      </c>
      <c r="D774" t="s">
        <v>2403</v>
      </c>
      <c r="E774">
        <v>1</v>
      </c>
      <c r="F774">
        <v>604.87</v>
      </c>
      <c r="G774" t="s">
        <v>2914</v>
      </c>
      <c r="H774" t="s">
        <v>3066</v>
      </c>
      <c r="I774" t="s">
        <v>3073</v>
      </c>
      <c r="J774" t="s">
        <v>3847</v>
      </c>
      <c r="K774">
        <v>4</v>
      </c>
      <c r="M774" t="s">
        <v>4278</v>
      </c>
      <c r="N774">
        <v>604.87</v>
      </c>
    </row>
    <row r="775" spans="1:14">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c r="A777" t="s">
        <v>789</v>
      </c>
      <c r="B777" s="2">
        <v>44989</v>
      </c>
      <c r="C777" t="s">
        <v>1986</v>
      </c>
      <c r="D777" t="s">
        <v>2404</v>
      </c>
      <c r="E777">
        <v>2</v>
      </c>
      <c r="F777">
        <v>625.22</v>
      </c>
      <c r="G777" t="s">
        <v>2431</v>
      </c>
      <c r="H777" t="s">
        <v>3066</v>
      </c>
      <c r="I777" t="s">
        <v>3071</v>
      </c>
      <c r="J777" t="s">
        <v>3850</v>
      </c>
      <c r="K777">
        <v>5</v>
      </c>
      <c r="M777" t="s">
        <v>4282</v>
      </c>
      <c r="N777">
        <v>1250.44</v>
      </c>
    </row>
    <row r="778" spans="1:14">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c r="A779" t="s">
        <v>791</v>
      </c>
      <c r="B779" s="2">
        <v>45737</v>
      </c>
      <c r="C779" t="s">
        <v>1988</v>
      </c>
      <c r="D779" t="s">
        <v>2406</v>
      </c>
      <c r="E779">
        <v>5</v>
      </c>
      <c r="F779">
        <v>64.489999999999995</v>
      </c>
      <c r="G779" t="s">
        <v>2432</v>
      </c>
      <c r="H779" t="s">
        <v>3066</v>
      </c>
      <c r="I779" t="s">
        <v>3071</v>
      </c>
      <c r="J779" t="s">
        <v>3852</v>
      </c>
      <c r="K779">
        <v>7</v>
      </c>
      <c r="M779" t="s">
        <v>4281</v>
      </c>
      <c r="N779">
        <v>322.45</v>
      </c>
    </row>
    <row r="780" spans="1:14">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c r="A788" t="s">
        <v>800</v>
      </c>
      <c r="B788" s="2">
        <v>45161</v>
      </c>
      <c r="C788" t="s">
        <v>1997</v>
      </c>
      <c r="D788" t="s">
        <v>2406</v>
      </c>
      <c r="E788">
        <v>5</v>
      </c>
      <c r="F788">
        <v>45.31</v>
      </c>
      <c r="G788" t="s">
        <v>2921</v>
      </c>
      <c r="H788" t="s">
        <v>3066</v>
      </c>
      <c r="I788" t="s">
        <v>3071</v>
      </c>
      <c r="J788" t="s">
        <v>3861</v>
      </c>
      <c r="K788">
        <v>8</v>
      </c>
      <c r="M788" t="s">
        <v>4279</v>
      </c>
      <c r="N788">
        <v>226.55</v>
      </c>
    </row>
    <row r="789" spans="1:14">
      <c r="A789" t="s">
        <v>801</v>
      </c>
      <c r="B789" s="2">
        <v>45368</v>
      </c>
      <c r="C789" t="s">
        <v>1998</v>
      </c>
      <c r="D789" t="s">
        <v>2409</v>
      </c>
      <c r="E789">
        <v>4</v>
      </c>
      <c r="F789">
        <v>221.96</v>
      </c>
      <c r="G789" t="s">
        <v>2922</v>
      </c>
      <c r="H789" t="s">
        <v>3069</v>
      </c>
      <c r="I789" t="s">
        <v>3073</v>
      </c>
      <c r="J789" t="s">
        <v>3862</v>
      </c>
      <c r="K789">
        <v>7</v>
      </c>
      <c r="M789" t="s">
        <v>4282</v>
      </c>
      <c r="N789">
        <v>887.84</v>
      </c>
    </row>
    <row r="790" spans="1:14">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c r="A792" t="s">
        <v>804</v>
      </c>
      <c r="B792" s="2">
        <v>45549</v>
      </c>
      <c r="C792" t="s">
        <v>2001</v>
      </c>
      <c r="D792" t="s">
        <v>2408</v>
      </c>
      <c r="E792">
        <v>4</v>
      </c>
      <c r="F792">
        <v>417.89</v>
      </c>
      <c r="G792" t="s">
        <v>2925</v>
      </c>
      <c r="H792" t="s">
        <v>3068</v>
      </c>
      <c r="I792" t="s">
        <v>3074</v>
      </c>
      <c r="J792" t="s">
        <v>3865</v>
      </c>
      <c r="K792">
        <v>4</v>
      </c>
      <c r="M792" t="s">
        <v>4282</v>
      </c>
      <c r="N792">
        <v>1671.56</v>
      </c>
    </row>
    <row r="793" spans="1:14">
      <c r="A793" t="s">
        <v>805</v>
      </c>
      <c r="B793" s="2">
        <v>45304</v>
      </c>
      <c r="C793" t="s">
        <v>2002</v>
      </c>
      <c r="D793" t="s">
        <v>2406</v>
      </c>
      <c r="E793">
        <v>4</v>
      </c>
      <c r="F793">
        <v>409.28</v>
      </c>
      <c r="G793" t="s">
        <v>2434</v>
      </c>
      <c r="H793" t="s">
        <v>3069</v>
      </c>
      <c r="I793" t="s">
        <v>3074</v>
      </c>
      <c r="J793" t="s">
        <v>3866</v>
      </c>
      <c r="K793">
        <v>8</v>
      </c>
      <c r="M793" t="s">
        <v>4280</v>
      </c>
      <c r="N793">
        <v>1637.12</v>
      </c>
    </row>
    <row r="794" spans="1:14">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c r="A795" t="s">
        <v>807</v>
      </c>
      <c r="B795" s="2">
        <v>45397</v>
      </c>
      <c r="C795" t="s">
        <v>2004</v>
      </c>
      <c r="D795" t="s">
        <v>2406</v>
      </c>
      <c r="E795">
        <v>5</v>
      </c>
      <c r="F795">
        <v>170.22</v>
      </c>
      <c r="G795" t="s">
        <v>2745</v>
      </c>
      <c r="H795" t="s">
        <v>3065</v>
      </c>
      <c r="I795" t="s">
        <v>3073</v>
      </c>
      <c r="J795" t="s">
        <v>3868</v>
      </c>
      <c r="K795">
        <v>8</v>
      </c>
      <c r="M795" t="s">
        <v>4279</v>
      </c>
      <c r="N795">
        <v>851.1</v>
      </c>
    </row>
    <row r="796" spans="1:14">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c r="A799" t="s">
        <v>811</v>
      </c>
      <c r="B799" s="2">
        <v>44984</v>
      </c>
      <c r="C799" t="s">
        <v>2008</v>
      </c>
      <c r="D799" t="s">
        <v>2408</v>
      </c>
      <c r="E799">
        <v>2</v>
      </c>
      <c r="F799">
        <v>438.76</v>
      </c>
      <c r="G799" t="s">
        <v>2929</v>
      </c>
      <c r="H799" t="s">
        <v>3065</v>
      </c>
      <c r="I799" t="s">
        <v>3072</v>
      </c>
      <c r="J799" t="s">
        <v>3872</v>
      </c>
      <c r="K799">
        <v>2</v>
      </c>
      <c r="M799" t="s">
        <v>4281</v>
      </c>
      <c r="N799">
        <v>877.52</v>
      </c>
    </row>
    <row r="800" spans="1:14">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c r="A810" t="s">
        <v>822</v>
      </c>
      <c r="B810" s="2">
        <v>45335</v>
      </c>
      <c r="C810" t="s">
        <v>2018</v>
      </c>
      <c r="D810" t="s">
        <v>2409</v>
      </c>
      <c r="E810">
        <v>3</v>
      </c>
      <c r="F810">
        <v>134.05000000000001</v>
      </c>
      <c r="G810" t="s">
        <v>2936</v>
      </c>
      <c r="H810" t="s">
        <v>3067</v>
      </c>
      <c r="I810" t="s">
        <v>3070</v>
      </c>
      <c r="J810" t="s">
        <v>3883</v>
      </c>
      <c r="K810">
        <v>3</v>
      </c>
      <c r="M810" t="s">
        <v>4282</v>
      </c>
      <c r="N810">
        <v>402.15</v>
      </c>
    </row>
    <row r="811" spans="1:14">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c r="A833" t="s">
        <v>845</v>
      </c>
      <c r="B833" s="2">
        <v>45278</v>
      </c>
      <c r="C833" t="s">
        <v>2041</v>
      </c>
      <c r="D833" t="s">
        <v>2407</v>
      </c>
      <c r="E833">
        <v>2</v>
      </c>
      <c r="F833">
        <v>88.73</v>
      </c>
      <c r="G833" t="s">
        <v>2851</v>
      </c>
      <c r="H833" t="s">
        <v>3066</v>
      </c>
      <c r="I833" t="s">
        <v>3074</v>
      </c>
      <c r="J833" t="s">
        <v>3906</v>
      </c>
      <c r="K833">
        <v>5</v>
      </c>
      <c r="M833" t="s">
        <v>4282</v>
      </c>
      <c r="N833">
        <v>177.46</v>
      </c>
    </row>
    <row r="834" spans="1:14">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c r="A836" t="s">
        <v>848</v>
      </c>
      <c r="B836" s="2">
        <v>45393</v>
      </c>
      <c r="C836" t="s">
        <v>2044</v>
      </c>
      <c r="D836" t="s">
        <v>2407</v>
      </c>
      <c r="E836">
        <v>5</v>
      </c>
      <c r="F836">
        <v>22.14</v>
      </c>
      <c r="G836" t="s">
        <v>2616</v>
      </c>
      <c r="H836" t="s">
        <v>3069</v>
      </c>
      <c r="I836" t="s">
        <v>3072</v>
      </c>
      <c r="J836" t="s">
        <v>3909</v>
      </c>
      <c r="K836">
        <v>10</v>
      </c>
      <c r="M836" t="s">
        <v>4278</v>
      </c>
      <c r="N836">
        <v>110.7</v>
      </c>
    </row>
    <row r="837" spans="1:14">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c r="A839" t="s">
        <v>851</v>
      </c>
      <c r="B839" s="2">
        <v>45822</v>
      </c>
      <c r="C839" t="s">
        <v>2047</v>
      </c>
      <c r="D839" t="s">
        <v>2406</v>
      </c>
      <c r="E839">
        <v>5</v>
      </c>
      <c r="F839">
        <v>655.55</v>
      </c>
      <c r="G839" t="s">
        <v>2839</v>
      </c>
      <c r="H839" t="s">
        <v>3066</v>
      </c>
      <c r="I839" t="s">
        <v>3073</v>
      </c>
      <c r="J839" t="s">
        <v>3912</v>
      </c>
      <c r="K839">
        <v>5</v>
      </c>
      <c r="M839" t="s">
        <v>4280</v>
      </c>
      <c r="N839">
        <v>3277.75</v>
      </c>
    </row>
    <row r="840" spans="1:14">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c r="A841" t="s">
        <v>853</v>
      </c>
      <c r="B841" s="2">
        <v>45162</v>
      </c>
      <c r="C841" t="s">
        <v>2049</v>
      </c>
      <c r="D841" t="s">
        <v>2406</v>
      </c>
      <c r="E841">
        <v>3</v>
      </c>
      <c r="F841">
        <v>197.97</v>
      </c>
      <c r="G841" t="s">
        <v>2902</v>
      </c>
      <c r="H841" t="s">
        <v>3066</v>
      </c>
      <c r="I841" t="s">
        <v>3071</v>
      </c>
      <c r="J841" t="s">
        <v>3914</v>
      </c>
      <c r="K841">
        <v>5</v>
      </c>
      <c r="M841" t="s">
        <v>4282</v>
      </c>
      <c r="N841">
        <v>593.91</v>
      </c>
    </row>
    <row r="842" spans="1:14">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c r="A843" t="s">
        <v>855</v>
      </c>
      <c r="B843" s="2">
        <v>45554</v>
      </c>
      <c r="C843" t="s">
        <v>2051</v>
      </c>
      <c r="D843" t="s">
        <v>2407</v>
      </c>
      <c r="E843">
        <v>2</v>
      </c>
      <c r="F843">
        <v>443.22</v>
      </c>
      <c r="G843" t="s">
        <v>2950</v>
      </c>
      <c r="H843" t="s">
        <v>3067</v>
      </c>
      <c r="I843" t="s">
        <v>3073</v>
      </c>
      <c r="J843" t="s">
        <v>3916</v>
      </c>
      <c r="K843">
        <v>5</v>
      </c>
      <c r="M843" t="s">
        <v>4281</v>
      </c>
      <c r="N843">
        <v>886.44</v>
      </c>
    </row>
    <row r="844" spans="1:14">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c r="A848" t="s">
        <v>860</v>
      </c>
      <c r="B848" s="2">
        <v>45477</v>
      </c>
      <c r="C848" t="s">
        <v>2056</v>
      </c>
      <c r="D848" t="s">
        <v>2409</v>
      </c>
      <c r="E848">
        <v>2</v>
      </c>
      <c r="F848">
        <v>359.86</v>
      </c>
      <c r="G848" t="s">
        <v>2954</v>
      </c>
      <c r="H848" t="s">
        <v>3065</v>
      </c>
      <c r="I848" t="s">
        <v>3071</v>
      </c>
      <c r="J848" t="s">
        <v>3921</v>
      </c>
      <c r="K848">
        <v>4</v>
      </c>
      <c r="M848" t="s">
        <v>4279</v>
      </c>
      <c r="N848">
        <v>719.72</v>
      </c>
    </row>
    <row r="849" spans="1:14">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c r="A850" t="s">
        <v>862</v>
      </c>
      <c r="B850" s="2">
        <v>44927</v>
      </c>
      <c r="C850" t="s">
        <v>2058</v>
      </c>
      <c r="D850" t="s">
        <v>2406</v>
      </c>
      <c r="E850">
        <v>2</v>
      </c>
      <c r="F850">
        <v>645.85</v>
      </c>
      <c r="G850" t="s">
        <v>2466</v>
      </c>
      <c r="H850" t="s">
        <v>3066</v>
      </c>
      <c r="I850" t="s">
        <v>3070</v>
      </c>
      <c r="J850" t="s">
        <v>3923</v>
      </c>
      <c r="K850">
        <v>5</v>
      </c>
      <c r="M850" t="s">
        <v>4279</v>
      </c>
      <c r="N850">
        <v>1291.7</v>
      </c>
    </row>
    <row r="851" spans="1:14">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c r="A858" t="s">
        <v>870</v>
      </c>
      <c r="B858" s="2">
        <v>45446</v>
      </c>
      <c r="C858" t="s">
        <v>2066</v>
      </c>
      <c r="D858" t="s">
        <v>2404</v>
      </c>
      <c r="E858">
        <v>1</v>
      </c>
      <c r="F858">
        <v>586.62</v>
      </c>
      <c r="G858" t="s">
        <v>2452</v>
      </c>
      <c r="H858" t="s">
        <v>3065</v>
      </c>
      <c r="I858" t="s">
        <v>3070</v>
      </c>
      <c r="J858" t="s">
        <v>3931</v>
      </c>
      <c r="K858">
        <v>5</v>
      </c>
      <c r="M858" t="s">
        <v>4281</v>
      </c>
      <c r="N858">
        <v>586.62</v>
      </c>
    </row>
    <row r="859" spans="1:14">
      <c r="A859" t="s">
        <v>871</v>
      </c>
      <c r="B859" s="2">
        <v>45361</v>
      </c>
      <c r="C859" t="s">
        <v>2067</v>
      </c>
      <c r="D859" t="s">
        <v>2404</v>
      </c>
      <c r="E859">
        <v>3</v>
      </c>
      <c r="F859">
        <v>257.83999999999997</v>
      </c>
      <c r="G859" t="s">
        <v>2594</v>
      </c>
      <c r="H859" t="s">
        <v>3066</v>
      </c>
      <c r="I859" t="s">
        <v>3073</v>
      </c>
      <c r="J859" t="s">
        <v>3932</v>
      </c>
      <c r="K859">
        <v>4</v>
      </c>
      <c r="M859" t="s">
        <v>4278</v>
      </c>
      <c r="N859">
        <v>773.52</v>
      </c>
    </row>
    <row r="860" spans="1:14">
      <c r="A860" t="s">
        <v>872</v>
      </c>
      <c r="B860" s="2">
        <v>45158</v>
      </c>
      <c r="C860" t="s">
        <v>2068</v>
      </c>
      <c r="D860" t="s">
        <v>2405</v>
      </c>
      <c r="E860">
        <v>5</v>
      </c>
      <c r="F860">
        <v>435.66</v>
      </c>
      <c r="G860" t="s">
        <v>2428</v>
      </c>
      <c r="H860" t="s">
        <v>3066</v>
      </c>
      <c r="I860" t="s">
        <v>3074</v>
      </c>
      <c r="J860" t="s">
        <v>3933</v>
      </c>
      <c r="K860">
        <v>9</v>
      </c>
      <c r="M860" t="s">
        <v>4281</v>
      </c>
      <c r="N860">
        <v>2178.3000000000002</v>
      </c>
    </row>
    <row r="861" spans="1:14">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t="s">
        <v>882</v>
      </c>
      <c r="B870" s="2">
        <v>45472</v>
      </c>
      <c r="C870" t="s">
        <v>2078</v>
      </c>
      <c r="D870" t="s">
        <v>2403</v>
      </c>
      <c r="E870">
        <v>4</v>
      </c>
      <c r="F870">
        <v>316.32</v>
      </c>
      <c r="G870" t="s">
        <v>2961</v>
      </c>
      <c r="H870" t="s">
        <v>3065</v>
      </c>
      <c r="I870" t="s">
        <v>3073</v>
      </c>
      <c r="J870" t="s">
        <v>3943</v>
      </c>
      <c r="K870">
        <v>7</v>
      </c>
      <c r="M870" t="s">
        <v>4281</v>
      </c>
      <c r="N870">
        <v>1265.28</v>
      </c>
    </row>
    <row r="871" spans="1:14">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c r="A874" t="s">
        <v>886</v>
      </c>
      <c r="B874" s="2">
        <v>45117</v>
      </c>
      <c r="C874" t="s">
        <v>2082</v>
      </c>
      <c r="D874" t="s">
        <v>2406</v>
      </c>
      <c r="E874">
        <v>4</v>
      </c>
      <c r="F874">
        <v>629.34</v>
      </c>
      <c r="G874" t="s">
        <v>2590</v>
      </c>
      <c r="H874" t="s">
        <v>3069</v>
      </c>
      <c r="I874" t="s">
        <v>3070</v>
      </c>
      <c r="J874" t="s">
        <v>3947</v>
      </c>
      <c r="K874">
        <v>7</v>
      </c>
      <c r="M874" t="s">
        <v>4280</v>
      </c>
      <c r="N874">
        <v>2517.36</v>
      </c>
    </row>
    <row r="875" spans="1:14">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c r="A883" t="s">
        <v>895</v>
      </c>
      <c r="B883" s="2">
        <v>44929</v>
      </c>
      <c r="C883" t="s">
        <v>2091</v>
      </c>
      <c r="D883" t="s">
        <v>2405</v>
      </c>
      <c r="E883">
        <v>2</v>
      </c>
      <c r="F883">
        <v>448.85</v>
      </c>
      <c r="G883" t="s">
        <v>2966</v>
      </c>
      <c r="H883" t="s">
        <v>3067</v>
      </c>
      <c r="I883" t="s">
        <v>3074</v>
      </c>
      <c r="J883" t="s">
        <v>3956</v>
      </c>
      <c r="K883">
        <v>6</v>
      </c>
      <c r="M883" t="s">
        <v>4278</v>
      </c>
      <c r="N883">
        <v>897.7</v>
      </c>
    </row>
    <row r="884" spans="1:14">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c r="A886" t="s">
        <v>898</v>
      </c>
      <c r="B886" s="2">
        <v>45427</v>
      </c>
      <c r="C886" t="s">
        <v>2094</v>
      </c>
      <c r="D886" t="s">
        <v>2406</v>
      </c>
      <c r="E886">
        <v>1</v>
      </c>
      <c r="F886">
        <v>595.54</v>
      </c>
      <c r="G886" t="s">
        <v>2968</v>
      </c>
      <c r="H886" t="s">
        <v>3068</v>
      </c>
      <c r="I886" t="s">
        <v>3070</v>
      </c>
      <c r="J886" t="s">
        <v>3959</v>
      </c>
      <c r="K886">
        <v>4</v>
      </c>
      <c r="M886" t="s">
        <v>4278</v>
      </c>
      <c r="N886">
        <v>595.54</v>
      </c>
    </row>
    <row r="887" spans="1:14">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c r="A888" t="s">
        <v>900</v>
      </c>
      <c r="B888" s="2">
        <v>45224</v>
      </c>
      <c r="C888" t="s">
        <v>2096</v>
      </c>
      <c r="D888" t="s">
        <v>2404</v>
      </c>
      <c r="E888">
        <v>1</v>
      </c>
      <c r="F888">
        <v>460.13</v>
      </c>
      <c r="G888" t="s">
        <v>2970</v>
      </c>
      <c r="H888" t="s">
        <v>3067</v>
      </c>
      <c r="I888" t="s">
        <v>3072</v>
      </c>
      <c r="J888" t="s">
        <v>3961</v>
      </c>
      <c r="K888">
        <v>1</v>
      </c>
      <c r="M888" t="s">
        <v>4282</v>
      </c>
      <c r="N888">
        <v>460.13</v>
      </c>
    </row>
    <row r="889" spans="1:14">
      <c r="A889" t="s">
        <v>901</v>
      </c>
      <c r="B889" s="2">
        <v>45645</v>
      </c>
      <c r="C889" t="s">
        <v>2097</v>
      </c>
      <c r="D889" t="s">
        <v>2406</v>
      </c>
      <c r="E889">
        <v>3</v>
      </c>
      <c r="F889">
        <v>171.66</v>
      </c>
      <c r="G889" t="s">
        <v>2971</v>
      </c>
      <c r="H889" t="s">
        <v>3065</v>
      </c>
      <c r="I889" t="s">
        <v>3073</v>
      </c>
      <c r="J889" t="s">
        <v>3962</v>
      </c>
      <c r="K889">
        <v>7</v>
      </c>
      <c r="M889" t="s">
        <v>4282</v>
      </c>
      <c r="N889">
        <v>514.98</v>
      </c>
    </row>
    <row r="890" spans="1:14">
      <c r="A890" t="s">
        <v>902</v>
      </c>
      <c r="B890" s="2">
        <v>45496</v>
      </c>
      <c r="C890" t="s">
        <v>2098</v>
      </c>
      <c r="D890" t="s">
        <v>2408</v>
      </c>
      <c r="E890">
        <v>2</v>
      </c>
      <c r="F890">
        <v>266.95</v>
      </c>
      <c r="G890" t="s">
        <v>2972</v>
      </c>
      <c r="H890" t="s">
        <v>3067</v>
      </c>
      <c r="I890" t="s">
        <v>3074</v>
      </c>
      <c r="J890" t="s">
        <v>3963</v>
      </c>
      <c r="K890">
        <v>3</v>
      </c>
      <c r="M890" t="s">
        <v>4278</v>
      </c>
      <c r="N890">
        <v>533.9</v>
      </c>
    </row>
    <row r="891" spans="1:14">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c r="A892" t="s">
        <v>904</v>
      </c>
      <c r="B892" s="2">
        <v>45149</v>
      </c>
      <c r="C892" t="s">
        <v>2100</v>
      </c>
      <c r="D892" t="s">
        <v>2408</v>
      </c>
      <c r="E892">
        <v>3</v>
      </c>
      <c r="F892">
        <v>439.53</v>
      </c>
      <c r="G892" t="s">
        <v>2781</v>
      </c>
      <c r="H892" t="s">
        <v>3065</v>
      </c>
      <c r="I892" t="s">
        <v>3074</v>
      </c>
      <c r="J892" t="s">
        <v>3965</v>
      </c>
      <c r="K892">
        <v>5</v>
      </c>
      <c r="M892" t="s">
        <v>4282</v>
      </c>
      <c r="N892">
        <v>1318.59</v>
      </c>
    </row>
    <row r="893" spans="1:14">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c r="A900" t="s">
        <v>912</v>
      </c>
      <c r="B900" s="2">
        <v>45721</v>
      </c>
      <c r="C900" t="s">
        <v>2108</v>
      </c>
      <c r="D900" t="s">
        <v>2403</v>
      </c>
      <c r="E900">
        <v>3</v>
      </c>
      <c r="F900">
        <v>158.37</v>
      </c>
      <c r="G900" t="s">
        <v>2950</v>
      </c>
      <c r="H900" t="s">
        <v>3069</v>
      </c>
      <c r="I900" t="s">
        <v>3070</v>
      </c>
      <c r="J900" t="s">
        <v>3973</v>
      </c>
      <c r="K900">
        <v>6</v>
      </c>
      <c r="M900" t="s">
        <v>4279</v>
      </c>
      <c r="N900">
        <v>475.11</v>
      </c>
    </row>
    <row r="901" spans="1:14">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c r="A902" t="s">
        <v>914</v>
      </c>
      <c r="B902" s="2">
        <v>45695</v>
      </c>
      <c r="C902" t="s">
        <v>2110</v>
      </c>
      <c r="D902" t="s">
        <v>2408</v>
      </c>
      <c r="E902">
        <v>5</v>
      </c>
      <c r="F902">
        <v>73.83</v>
      </c>
      <c r="G902" t="s">
        <v>2802</v>
      </c>
      <c r="H902" t="s">
        <v>3065</v>
      </c>
      <c r="I902" t="s">
        <v>3074</v>
      </c>
      <c r="J902" t="s">
        <v>3975</v>
      </c>
      <c r="K902">
        <v>9</v>
      </c>
      <c r="M902" t="s">
        <v>4278</v>
      </c>
      <c r="N902">
        <v>369.15</v>
      </c>
    </row>
    <row r="903" spans="1:14">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c r="A904" t="s">
        <v>916</v>
      </c>
      <c r="B904" s="2">
        <v>45486</v>
      </c>
      <c r="C904" t="s">
        <v>2112</v>
      </c>
      <c r="D904" t="s">
        <v>2403</v>
      </c>
      <c r="E904">
        <v>4</v>
      </c>
      <c r="F904">
        <v>180.25</v>
      </c>
      <c r="G904" t="s">
        <v>2469</v>
      </c>
      <c r="H904" t="s">
        <v>3065</v>
      </c>
      <c r="I904" t="s">
        <v>3071</v>
      </c>
      <c r="J904" t="s">
        <v>3977</v>
      </c>
      <c r="K904">
        <v>7</v>
      </c>
      <c r="M904" t="s">
        <v>4281</v>
      </c>
      <c r="N904">
        <v>721</v>
      </c>
    </row>
    <row r="905" spans="1:14">
      <c r="A905" t="s">
        <v>917</v>
      </c>
      <c r="B905" s="2">
        <v>45063</v>
      </c>
      <c r="C905" t="s">
        <v>2113</v>
      </c>
      <c r="D905" t="s">
        <v>2403</v>
      </c>
      <c r="E905">
        <v>3</v>
      </c>
      <c r="F905">
        <v>473.49</v>
      </c>
      <c r="G905" t="s">
        <v>2932</v>
      </c>
      <c r="H905" t="s">
        <v>3067</v>
      </c>
      <c r="I905" t="s">
        <v>3074</v>
      </c>
      <c r="J905" t="s">
        <v>3978</v>
      </c>
      <c r="K905">
        <v>7</v>
      </c>
      <c r="M905" t="s">
        <v>4280</v>
      </c>
      <c r="N905">
        <v>1420.47</v>
      </c>
    </row>
    <row r="906" spans="1:14">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c r="A908" t="s">
        <v>920</v>
      </c>
      <c r="B908" s="2">
        <v>45538</v>
      </c>
      <c r="C908" t="s">
        <v>2116</v>
      </c>
      <c r="D908" t="s">
        <v>2403</v>
      </c>
      <c r="E908">
        <v>1</v>
      </c>
      <c r="F908">
        <v>62.12</v>
      </c>
      <c r="G908" t="s">
        <v>2977</v>
      </c>
      <c r="H908" t="s">
        <v>3069</v>
      </c>
      <c r="I908" t="s">
        <v>3072</v>
      </c>
      <c r="J908" t="s">
        <v>3981</v>
      </c>
      <c r="K908">
        <v>2</v>
      </c>
      <c r="M908" t="s">
        <v>4280</v>
      </c>
      <c r="N908">
        <v>62.12</v>
      </c>
    </row>
    <row r="909" spans="1:14">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c r="A920" t="s">
        <v>932</v>
      </c>
      <c r="B920" s="2">
        <v>45832</v>
      </c>
      <c r="C920" t="s">
        <v>2128</v>
      </c>
      <c r="D920" t="s">
        <v>2408</v>
      </c>
      <c r="E920">
        <v>5</v>
      </c>
      <c r="F920">
        <v>368.25</v>
      </c>
      <c r="G920" t="s">
        <v>2417</v>
      </c>
      <c r="H920" t="s">
        <v>3066</v>
      </c>
      <c r="I920" t="s">
        <v>3073</v>
      </c>
      <c r="J920" t="s">
        <v>3993</v>
      </c>
      <c r="K920">
        <v>5</v>
      </c>
      <c r="M920" t="s">
        <v>4278</v>
      </c>
      <c r="N920">
        <v>1841.25</v>
      </c>
    </row>
    <row r="921" spans="1:14">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c r="A922" t="s">
        <v>934</v>
      </c>
      <c r="B922" s="2">
        <v>45728</v>
      </c>
      <c r="C922" t="s">
        <v>2130</v>
      </c>
      <c r="D922" t="s">
        <v>2405</v>
      </c>
      <c r="E922">
        <v>2</v>
      </c>
      <c r="F922">
        <v>428.09</v>
      </c>
      <c r="G922" t="s">
        <v>2674</v>
      </c>
      <c r="H922" t="s">
        <v>3067</v>
      </c>
      <c r="I922" t="s">
        <v>3072</v>
      </c>
      <c r="J922" t="s">
        <v>3995</v>
      </c>
      <c r="K922">
        <v>6</v>
      </c>
      <c r="M922" t="s">
        <v>4278</v>
      </c>
      <c r="N922">
        <v>856.18</v>
      </c>
    </row>
    <row r="923" spans="1:14">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c r="A931" t="s">
        <v>943</v>
      </c>
      <c r="B931" s="2">
        <v>45581</v>
      </c>
      <c r="C931" t="s">
        <v>2139</v>
      </c>
      <c r="D931" t="s">
        <v>2405</v>
      </c>
      <c r="E931">
        <v>2</v>
      </c>
      <c r="F931">
        <v>536.25</v>
      </c>
      <c r="G931" t="s">
        <v>2568</v>
      </c>
      <c r="H931" t="s">
        <v>3065</v>
      </c>
      <c r="I931" t="s">
        <v>3074</v>
      </c>
      <c r="J931" t="s">
        <v>4004</v>
      </c>
      <c r="K931">
        <v>3</v>
      </c>
      <c r="M931" t="s">
        <v>4280</v>
      </c>
      <c r="N931">
        <v>1072.5</v>
      </c>
    </row>
    <row r="932" spans="1:14">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c r="A935" t="s">
        <v>947</v>
      </c>
      <c r="B935" s="2">
        <v>44952</v>
      </c>
      <c r="C935" t="s">
        <v>2143</v>
      </c>
      <c r="D935" t="s">
        <v>2403</v>
      </c>
      <c r="E935">
        <v>2</v>
      </c>
      <c r="F935">
        <v>394.16</v>
      </c>
      <c r="G935" t="s">
        <v>2617</v>
      </c>
      <c r="H935" t="s">
        <v>3066</v>
      </c>
      <c r="I935" t="s">
        <v>3070</v>
      </c>
      <c r="J935" t="s">
        <v>4008</v>
      </c>
      <c r="K935">
        <v>2</v>
      </c>
      <c r="M935" t="s">
        <v>4279</v>
      </c>
      <c r="N935">
        <v>788.32</v>
      </c>
    </row>
    <row r="936" spans="1:14">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c r="A944" t="s">
        <v>956</v>
      </c>
      <c r="B944" s="2">
        <v>45198</v>
      </c>
      <c r="C944" t="s">
        <v>2151</v>
      </c>
      <c r="D944" t="s">
        <v>2405</v>
      </c>
      <c r="E944">
        <v>1</v>
      </c>
      <c r="F944">
        <v>479.76</v>
      </c>
      <c r="G944" t="s">
        <v>2599</v>
      </c>
      <c r="H944" t="s">
        <v>3067</v>
      </c>
      <c r="I944" t="s">
        <v>3074</v>
      </c>
      <c r="J944" t="s">
        <v>4017</v>
      </c>
      <c r="K944">
        <v>1</v>
      </c>
      <c r="M944" t="s">
        <v>4280</v>
      </c>
      <c r="N944">
        <v>479.76</v>
      </c>
    </row>
    <row r="945" spans="1:14">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c r="A951" t="s">
        <v>963</v>
      </c>
      <c r="B951" s="2">
        <v>45239</v>
      </c>
      <c r="C951" t="s">
        <v>2157</v>
      </c>
      <c r="D951" t="s">
        <v>2409</v>
      </c>
      <c r="E951">
        <v>5</v>
      </c>
      <c r="F951">
        <v>110.38</v>
      </c>
      <c r="G951" t="s">
        <v>2732</v>
      </c>
      <c r="H951" t="s">
        <v>3069</v>
      </c>
      <c r="I951" t="s">
        <v>3074</v>
      </c>
      <c r="J951" t="s">
        <v>4024</v>
      </c>
      <c r="K951">
        <v>10</v>
      </c>
      <c r="M951" t="s">
        <v>4279</v>
      </c>
      <c r="N951">
        <v>551.9</v>
      </c>
    </row>
    <row r="952" spans="1:14">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c r="A954" t="s">
        <v>966</v>
      </c>
      <c r="B954" s="2">
        <v>45715</v>
      </c>
      <c r="C954" t="s">
        <v>2160</v>
      </c>
      <c r="D954" t="s">
        <v>2403</v>
      </c>
      <c r="E954">
        <v>3</v>
      </c>
      <c r="F954">
        <v>503.39</v>
      </c>
      <c r="G954" t="s">
        <v>2986</v>
      </c>
      <c r="H954" t="s">
        <v>3066</v>
      </c>
      <c r="I954" t="s">
        <v>3074</v>
      </c>
      <c r="J954" t="s">
        <v>4027</v>
      </c>
      <c r="K954">
        <v>5</v>
      </c>
      <c r="M954" t="s">
        <v>4281</v>
      </c>
      <c r="N954">
        <v>1510.17</v>
      </c>
    </row>
    <row r="955" spans="1:14">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c r="A963" t="s">
        <v>975</v>
      </c>
      <c r="B963" s="2">
        <v>45607</v>
      </c>
      <c r="C963" t="s">
        <v>2168</v>
      </c>
      <c r="D963" t="s">
        <v>2404</v>
      </c>
      <c r="E963">
        <v>1</v>
      </c>
      <c r="F963">
        <v>601.36</v>
      </c>
      <c r="G963" t="s">
        <v>2685</v>
      </c>
      <c r="H963" t="s">
        <v>3066</v>
      </c>
      <c r="I963" t="s">
        <v>3070</v>
      </c>
      <c r="J963" t="s">
        <v>4036</v>
      </c>
      <c r="K963">
        <v>1</v>
      </c>
      <c r="M963" t="s">
        <v>4281</v>
      </c>
      <c r="N963">
        <v>601.36</v>
      </c>
    </row>
    <row r="964" spans="1:14">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c r="A976" t="s">
        <v>988</v>
      </c>
      <c r="B976" s="2">
        <v>45196</v>
      </c>
      <c r="C976" t="s">
        <v>2181</v>
      </c>
      <c r="D976" t="s">
        <v>2409</v>
      </c>
      <c r="E976">
        <v>5</v>
      </c>
      <c r="F976">
        <v>266.77999999999997</v>
      </c>
      <c r="G976" t="s">
        <v>2673</v>
      </c>
      <c r="H976" t="s">
        <v>3068</v>
      </c>
      <c r="I976" t="s">
        <v>3071</v>
      </c>
      <c r="J976" t="s">
        <v>4049</v>
      </c>
      <c r="K976">
        <v>5</v>
      </c>
      <c r="M976" t="s">
        <v>4280</v>
      </c>
      <c r="N976">
        <v>1333.9</v>
      </c>
    </row>
    <row r="977" spans="1:14">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c r="A980" t="s">
        <v>992</v>
      </c>
      <c r="B980" s="2">
        <v>45468</v>
      </c>
      <c r="C980" t="s">
        <v>2185</v>
      </c>
      <c r="D980" t="s">
        <v>2407</v>
      </c>
      <c r="E980">
        <v>4</v>
      </c>
      <c r="F980">
        <v>107.49</v>
      </c>
      <c r="G980" t="s">
        <v>2887</v>
      </c>
      <c r="H980" t="s">
        <v>3069</v>
      </c>
      <c r="I980" t="s">
        <v>3073</v>
      </c>
      <c r="J980" t="s">
        <v>4053</v>
      </c>
      <c r="K980">
        <v>5</v>
      </c>
      <c r="M980" t="s">
        <v>4282</v>
      </c>
      <c r="N980">
        <v>429.96</v>
      </c>
    </row>
    <row r="981" spans="1:14">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c r="A1052" t="s">
        <v>1064</v>
      </c>
      <c r="B1052" s="2">
        <v>45158</v>
      </c>
      <c r="C1052" t="s">
        <v>2256</v>
      </c>
      <c r="D1052" t="s">
        <v>2408</v>
      </c>
      <c r="E1052">
        <v>5</v>
      </c>
      <c r="F1052">
        <v>69.7</v>
      </c>
      <c r="G1052" t="s">
        <v>2805</v>
      </c>
      <c r="H1052" t="s">
        <v>3066</v>
      </c>
      <c r="I1052" t="s">
        <v>3072</v>
      </c>
      <c r="J1052" t="s">
        <v>4125</v>
      </c>
      <c r="K1052">
        <v>9</v>
      </c>
      <c r="M1052" t="s">
        <v>4278</v>
      </c>
      <c r="N1052">
        <v>348.5</v>
      </c>
    </row>
    <row r="1053" spans="1:14">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c r="A1081" t="s">
        <v>1093</v>
      </c>
      <c r="B1081" s="2">
        <v>45463</v>
      </c>
      <c r="C1081" t="s">
        <v>2285</v>
      </c>
      <c r="D1081" t="s">
        <v>2404</v>
      </c>
      <c r="E1081">
        <v>5</v>
      </c>
      <c r="F1081">
        <v>634</v>
      </c>
      <c r="G1081" t="s">
        <v>2980</v>
      </c>
      <c r="H1081" t="s">
        <v>3068</v>
      </c>
      <c r="I1081" t="s">
        <v>3073</v>
      </c>
      <c r="J1081" t="s">
        <v>4154</v>
      </c>
      <c r="K1081">
        <v>8</v>
      </c>
      <c r="M1081" t="s">
        <v>4280</v>
      </c>
      <c r="N1081">
        <v>3170</v>
      </c>
    </row>
    <row r="1082" spans="1:14">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40918-0AFB-45C8-B0BD-E0083197E5E1}">
  <dimension ref="A3:J8"/>
  <sheetViews>
    <sheetView topLeftCell="B1" workbookViewId="0">
      <selection activeCell="J4" sqref="J4"/>
    </sheetView>
  </sheetViews>
  <sheetFormatPr defaultRowHeight="15"/>
  <cols>
    <col min="1" max="1" width="16.5703125" bestFit="1" customWidth="1"/>
    <col min="2" max="2" width="23.5703125" bestFit="1" customWidth="1"/>
    <col min="3" max="3" width="27.140625" bestFit="1" customWidth="1"/>
    <col min="4" max="4" width="15.42578125" bestFit="1" customWidth="1"/>
    <col min="5" max="5" width="14.7109375" bestFit="1" customWidth="1"/>
    <col min="6" max="6" width="20.7109375" bestFit="1" customWidth="1"/>
    <col min="7" max="7" width="16.42578125" bestFit="1" customWidth="1"/>
    <col min="8" max="8" width="21.85546875" bestFit="1" customWidth="1"/>
    <col min="9" max="9" width="13.28515625" bestFit="1" customWidth="1"/>
    <col min="10" max="10" width="27.28515625" bestFit="1" customWidth="1"/>
  </cols>
  <sheetData>
    <row r="3" spans="1:10">
      <c r="A3" t="s">
        <v>4284</v>
      </c>
      <c r="B3" t="s">
        <v>4288</v>
      </c>
      <c r="C3" t="s">
        <v>4289</v>
      </c>
      <c r="D3" t="s">
        <v>4290</v>
      </c>
      <c r="E3" t="s">
        <v>4291</v>
      </c>
      <c r="F3" t="s">
        <v>4292</v>
      </c>
      <c r="G3" t="s">
        <v>4293</v>
      </c>
      <c r="H3" t="s">
        <v>4312</v>
      </c>
      <c r="I3" t="s">
        <v>4313</v>
      </c>
      <c r="J3" t="s">
        <v>4314</v>
      </c>
    </row>
    <row r="4" spans="1:10">
      <c r="A4" s="4">
        <v>1264761.9600000004</v>
      </c>
      <c r="B4">
        <v>1200</v>
      </c>
      <c r="C4">
        <v>1189</v>
      </c>
      <c r="D4">
        <v>3535</v>
      </c>
      <c r="E4" s="5">
        <f>A4/B4</f>
        <v>1053.9683000000005</v>
      </c>
      <c r="F4" s="8">
        <f>COUNTIF(OnlineOrderTable!I:I,"Delivered")/COUNTA(OnlineOrderTable!A:A)</f>
        <v>0.19233971690258117</v>
      </c>
      <c r="G4" s="10">
        <f>AVERAGE(OnlineOrderTable!K:K)</f>
        <v>5.4850000000000003</v>
      </c>
      <c r="H4" s="9">
        <f>COUNTIF(StoreOrders[CouponCode],"&lt;&gt;NIL")/COUNTA(StoreOrders[OrderID])</f>
        <v>0.74250000000000005</v>
      </c>
      <c r="I4" s="17">
        <f>COUNTIF(StoreOrders[CouponCode],"&lt;&gt;NIL")</f>
        <v>891</v>
      </c>
      <c r="J4" s="11">
        <f>AVERAGEIF(StoreOrders[CouponCode],"&lt;&gt;NIL",StoreOrders[TotalPrice])</f>
        <v>1057.6437149270482</v>
      </c>
    </row>
    <row r="5" spans="1:10">
      <c r="F5" s="8"/>
    </row>
    <row r="6" spans="1:10">
      <c r="F6" s="8"/>
    </row>
    <row r="7" spans="1:10">
      <c r="F7" s="8"/>
    </row>
    <row r="8" spans="1:10">
      <c r="F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C1EF7-3598-4127-8655-5BE26ECFEC3D}">
  <dimension ref="A3:E17"/>
  <sheetViews>
    <sheetView topLeftCell="B1" workbookViewId="0">
      <selection activeCell="M9" sqref="M9"/>
    </sheetView>
  </sheetViews>
  <sheetFormatPr defaultRowHeight="15"/>
  <cols>
    <col min="1" max="1" width="16.5703125" bestFit="1" customWidth="1"/>
    <col min="2" max="2" width="16.28515625" bestFit="1" customWidth="1"/>
    <col min="3" max="4" width="10" bestFit="1" customWidth="1"/>
    <col min="5" max="5" width="11.28515625" bestFit="1" customWidth="1"/>
    <col min="6" max="7" width="10" bestFit="1" customWidth="1"/>
    <col min="8" max="13" width="9" bestFit="1" customWidth="1"/>
    <col min="14" max="14" width="11.28515625" bestFit="1" customWidth="1"/>
    <col min="15" max="18" width="9" bestFit="1" customWidth="1"/>
    <col min="19" max="19" width="8" bestFit="1" customWidth="1"/>
    <col min="20" max="31" width="9" bestFit="1" customWidth="1"/>
    <col min="32" max="32" width="11.28515625" bestFit="1" customWidth="1"/>
    <col min="33" max="671" width="16.28515625" bestFit="1" customWidth="1"/>
    <col min="672" max="672" width="11.28515625" bestFit="1" customWidth="1"/>
  </cols>
  <sheetData>
    <row r="3" spans="1:5">
      <c r="A3" s="6" t="s">
        <v>4284</v>
      </c>
      <c r="B3" s="6" t="s">
        <v>4294</v>
      </c>
    </row>
    <row r="4" spans="1:5">
      <c r="A4" s="6" t="s">
        <v>4285</v>
      </c>
      <c r="B4" t="s">
        <v>4295</v>
      </c>
      <c r="C4" t="s">
        <v>4296</v>
      </c>
      <c r="D4" t="s">
        <v>4297</v>
      </c>
      <c r="E4" t="s">
        <v>4286</v>
      </c>
    </row>
    <row r="5" spans="1:5">
      <c r="A5" s="7" t="s">
        <v>4298</v>
      </c>
      <c r="B5">
        <v>56685.749999999985</v>
      </c>
      <c r="C5">
        <v>38528.079999999994</v>
      </c>
      <c r="D5">
        <v>29099.399999999998</v>
      </c>
      <c r="E5">
        <v>124313.23000000005</v>
      </c>
    </row>
    <row r="6" spans="1:5">
      <c r="A6" s="7" t="s">
        <v>4299</v>
      </c>
      <c r="B6">
        <v>40117.659999999996</v>
      </c>
      <c r="C6">
        <v>36909.570000000014</v>
      </c>
      <c r="D6">
        <v>35317.549999999996</v>
      </c>
      <c r="E6">
        <v>112344.77999999998</v>
      </c>
    </row>
    <row r="7" spans="1:5">
      <c r="A7" s="7" t="s">
        <v>4300</v>
      </c>
      <c r="B7">
        <v>48609.37000000001</v>
      </c>
      <c r="C7">
        <v>36030.899999999994</v>
      </c>
      <c r="D7">
        <v>39200.660000000011</v>
      </c>
      <c r="E7">
        <v>123840.92999999995</v>
      </c>
    </row>
    <row r="8" spans="1:5">
      <c r="A8" s="7" t="s">
        <v>4301</v>
      </c>
      <c r="B8">
        <v>27751.710000000006</v>
      </c>
      <c r="C8">
        <v>49613.139999999992</v>
      </c>
      <c r="D8">
        <v>31821.200000000001</v>
      </c>
      <c r="E8">
        <v>109186.05</v>
      </c>
    </row>
    <row r="9" spans="1:5">
      <c r="A9" s="7" t="s">
        <v>4302</v>
      </c>
      <c r="B9">
        <v>63836.840000000026</v>
      </c>
      <c r="C9">
        <v>27909.110000000004</v>
      </c>
      <c r="D9">
        <v>43396.639999999992</v>
      </c>
      <c r="E9">
        <v>135142.59</v>
      </c>
    </row>
    <row r="10" spans="1:5">
      <c r="A10" s="7" t="s">
        <v>4303</v>
      </c>
      <c r="B10">
        <v>49500.19</v>
      </c>
      <c r="C10">
        <v>68068.539999999979</v>
      </c>
      <c r="D10">
        <v>53047.399999999994</v>
      </c>
      <c r="E10">
        <v>170616.13000000006</v>
      </c>
    </row>
    <row r="11" spans="1:5">
      <c r="A11" s="7" t="s">
        <v>4304</v>
      </c>
      <c r="B11">
        <v>42820.66</v>
      </c>
      <c r="C11">
        <v>42963.98</v>
      </c>
      <c r="E11">
        <v>85784.63999999997</v>
      </c>
    </row>
    <row r="12" spans="1:5">
      <c r="A12" s="7" t="s">
        <v>4305</v>
      </c>
      <c r="B12">
        <v>54352.14</v>
      </c>
      <c r="C12">
        <v>31991.07</v>
      </c>
      <c r="E12">
        <v>86343.210000000036</v>
      </c>
    </row>
    <row r="13" spans="1:5">
      <c r="A13" s="7" t="s">
        <v>4306</v>
      </c>
      <c r="B13">
        <v>29526.67</v>
      </c>
      <c r="C13">
        <v>39794.979999999996</v>
      </c>
      <c r="E13">
        <v>69321.650000000023</v>
      </c>
    </row>
    <row r="14" spans="1:5">
      <c r="A14" s="7" t="s">
        <v>4307</v>
      </c>
      <c r="B14">
        <v>52607.85</v>
      </c>
      <c r="C14">
        <v>37226.969999999994</v>
      </c>
      <c r="E14">
        <v>89834.820000000022</v>
      </c>
    </row>
    <row r="15" spans="1:5">
      <c r="A15" s="7" t="s">
        <v>4308</v>
      </c>
      <c r="B15">
        <v>43079.67</v>
      </c>
      <c r="C15">
        <v>32413.760000000006</v>
      </c>
      <c r="E15">
        <v>75493.430000000008</v>
      </c>
    </row>
    <row r="16" spans="1:5">
      <c r="A16" s="7" t="s">
        <v>4309</v>
      </c>
      <c r="B16">
        <v>43754.729999999981</v>
      </c>
      <c r="C16">
        <v>38785.769999999997</v>
      </c>
      <c r="E16">
        <v>82540.5</v>
      </c>
    </row>
    <row r="17" spans="1:5">
      <c r="A17" s="7" t="s">
        <v>4286</v>
      </c>
      <c r="B17">
        <v>552643.23999999976</v>
      </c>
      <c r="C17">
        <v>480235.87000000034</v>
      </c>
      <c r="D17">
        <v>231882.85000000006</v>
      </c>
      <c r="E17">
        <v>1264761.9600000004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CB06C-5FEF-464E-B0E9-03EBC39A32FF}">
  <dimension ref="A3:B11"/>
  <sheetViews>
    <sheetView workbookViewId="0">
      <selection activeCell="M9" sqref="M9"/>
    </sheetView>
  </sheetViews>
  <sheetFormatPr defaultRowHeight="15"/>
  <cols>
    <col min="1" max="1" width="13.140625" bestFit="1" customWidth="1"/>
    <col min="2" max="2" width="16.5703125" bestFit="1" customWidth="1"/>
    <col min="3" max="8" width="10" bestFit="1" customWidth="1"/>
    <col min="9" max="9" width="11.28515625" bestFit="1" customWidth="1"/>
  </cols>
  <sheetData>
    <row r="3" spans="1:2">
      <c r="A3" s="6" t="s">
        <v>4285</v>
      </c>
      <c r="B3" t="s">
        <v>4284</v>
      </c>
    </row>
    <row r="4" spans="1:2">
      <c r="A4" s="7" t="s">
        <v>2406</v>
      </c>
      <c r="B4">
        <v>195620.11000000002</v>
      </c>
    </row>
    <row r="5" spans="1:2">
      <c r="A5" s="7" t="s">
        <v>2409</v>
      </c>
      <c r="B5">
        <v>167459.93</v>
      </c>
    </row>
    <row r="6" spans="1:2">
      <c r="A6" s="7" t="s">
        <v>2408</v>
      </c>
      <c r="B6">
        <v>192126.55999999994</v>
      </c>
    </row>
    <row r="7" spans="1:2">
      <c r="A7" s="7" t="s">
        <v>2403</v>
      </c>
      <c r="B7">
        <v>175651.40999999997</v>
      </c>
    </row>
    <row r="8" spans="1:2">
      <c r="A8" s="7" t="s">
        <v>2404</v>
      </c>
      <c r="B8">
        <v>151722.39000000001</v>
      </c>
    </row>
    <row r="9" spans="1:2">
      <c r="A9" s="7" t="s">
        <v>2407</v>
      </c>
      <c r="B9">
        <v>195612.60999999996</v>
      </c>
    </row>
    <row r="10" spans="1:2">
      <c r="A10" s="7" t="s">
        <v>2405</v>
      </c>
      <c r="B10">
        <v>186568.95000000007</v>
      </c>
    </row>
    <row r="11" spans="1:2">
      <c r="A11" s="7" t="s">
        <v>4286</v>
      </c>
      <c r="B11">
        <v>1264761.9600000004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C90D-AE79-47C6-8EBD-FE85C44D2187}">
  <dimension ref="A3:B9"/>
  <sheetViews>
    <sheetView topLeftCell="F1" workbookViewId="0">
      <selection activeCell="M9" sqref="M9"/>
    </sheetView>
  </sheetViews>
  <sheetFormatPr defaultRowHeight="15"/>
  <cols>
    <col min="1" max="1" width="13.140625" bestFit="1" customWidth="1"/>
    <col min="2" max="2" width="16.5703125" bestFit="1" customWidth="1"/>
  </cols>
  <sheetData>
    <row r="3" spans="1:2">
      <c r="A3" s="6" t="s">
        <v>4285</v>
      </c>
      <c r="B3" t="s">
        <v>4284</v>
      </c>
    </row>
    <row r="4" spans="1:2">
      <c r="A4" s="7" t="s">
        <v>3069</v>
      </c>
      <c r="B4">
        <v>259786.28999999992</v>
      </c>
    </row>
    <row r="5" spans="1:2">
      <c r="A5" s="7" t="s">
        <v>3067</v>
      </c>
      <c r="B5">
        <v>263847.62999999989</v>
      </c>
    </row>
    <row r="6" spans="1:2">
      <c r="A6" s="7" t="s">
        <v>3065</v>
      </c>
      <c r="B6">
        <v>232361.17999999996</v>
      </c>
    </row>
    <row r="7" spans="1:2">
      <c r="A7" s="7" t="s">
        <v>3068</v>
      </c>
      <c r="B7">
        <v>246323.9200000001</v>
      </c>
    </row>
    <row r="8" spans="1:2">
      <c r="A8" s="7" t="s">
        <v>3066</v>
      </c>
      <c r="B8">
        <v>262442.94000000012</v>
      </c>
    </row>
    <row r="9" spans="1:2">
      <c r="A9" s="7" t="s">
        <v>4286</v>
      </c>
      <c r="B9">
        <v>1264761.9600000004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14D9-B103-4204-AEE7-08873F98191E}">
  <dimension ref="A3:B9"/>
  <sheetViews>
    <sheetView workbookViewId="0">
      <selection activeCell="M9" sqref="M9"/>
    </sheetView>
  </sheetViews>
  <sheetFormatPr defaultRowHeight="15"/>
  <cols>
    <col min="1" max="1" width="13.140625" bestFit="1" customWidth="1"/>
    <col min="2" max="2" width="23.5703125" bestFit="1" customWidth="1"/>
    <col min="3" max="3" width="9.7109375" bestFit="1" customWidth="1"/>
    <col min="4" max="4" width="8.28515625" bestFit="1" customWidth="1"/>
    <col min="5" max="5" width="9.28515625" bestFit="1" customWidth="1"/>
    <col min="6" max="6" width="8.28515625" bestFit="1" customWidth="1"/>
    <col min="7" max="7" width="11.28515625" bestFit="1" customWidth="1"/>
    <col min="8" max="1201" width="10.85546875" bestFit="1" customWidth="1"/>
    <col min="1202" max="1202" width="11.28515625" bestFit="1" customWidth="1"/>
  </cols>
  <sheetData>
    <row r="3" spans="1:2">
      <c r="A3" s="6" t="s">
        <v>4285</v>
      </c>
      <c r="B3" t="s">
        <v>4288</v>
      </c>
    </row>
    <row r="4" spans="1:2">
      <c r="A4" s="7" t="s">
        <v>3071</v>
      </c>
      <c r="B4">
        <v>250</v>
      </c>
    </row>
    <row r="5" spans="1:2">
      <c r="A5" s="7" t="s">
        <v>3073</v>
      </c>
      <c r="B5">
        <v>231</v>
      </c>
    </row>
    <row r="6" spans="1:2">
      <c r="A6" s="7" t="s">
        <v>3074</v>
      </c>
      <c r="B6">
        <v>237</v>
      </c>
    </row>
    <row r="7" spans="1:2">
      <c r="A7" s="7" t="s">
        <v>3072</v>
      </c>
      <c r="B7">
        <v>247</v>
      </c>
    </row>
    <row r="8" spans="1:2">
      <c r="A8" s="7" t="s">
        <v>3070</v>
      </c>
      <c r="B8">
        <v>235</v>
      </c>
    </row>
    <row r="9" spans="1:2">
      <c r="A9" s="7" t="s">
        <v>4286</v>
      </c>
      <c r="B9">
        <v>1200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7C669-6939-47FA-8895-C1546347F6E0}">
  <dimension ref="A3:D9"/>
  <sheetViews>
    <sheetView workbookViewId="0">
      <selection activeCell="M9" sqref="M9"/>
    </sheetView>
  </sheetViews>
  <sheetFormatPr defaultRowHeight="15"/>
  <cols>
    <col min="1" max="1" width="13.140625" bestFit="1" customWidth="1"/>
    <col min="2" max="2" width="20.140625" bestFit="1" customWidth="1"/>
    <col min="4" max="4" width="10.85546875" bestFit="1" customWidth="1"/>
  </cols>
  <sheetData>
    <row r="3" spans="1:4">
      <c r="A3" s="6" t="s">
        <v>4285</v>
      </c>
      <c r="B3" t="s">
        <v>4310</v>
      </c>
    </row>
    <row r="4" spans="1:4">
      <c r="A4" s="7" t="s">
        <v>3069</v>
      </c>
      <c r="B4">
        <v>1056.0418292682923</v>
      </c>
    </row>
    <row r="5" spans="1:4">
      <c r="A5" s="7" t="s">
        <v>3067</v>
      </c>
      <c r="B5">
        <v>1127.5539743589738</v>
      </c>
      <c r="D5" t="str">
        <f>A5</f>
        <v>Credit Card</v>
      </c>
    </row>
    <row r="6" spans="1:4">
      <c r="A6" s="7" t="s">
        <v>3065</v>
      </c>
      <c r="B6">
        <v>1001.5568103448275</v>
      </c>
    </row>
    <row r="7" spans="1:4">
      <c r="A7" s="7" t="s">
        <v>3068</v>
      </c>
      <c r="B7">
        <v>1070.9735652173918</v>
      </c>
    </row>
    <row r="8" spans="1:4">
      <c r="A8" s="7" t="s">
        <v>3066</v>
      </c>
      <c r="B8">
        <v>1017.2206976744191</v>
      </c>
    </row>
    <row r="9" spans="1:4">
      <c r="A9" s="7" t="s">
        <v>4286</v>
      </c>
      <c r="B9">
        <v>1053.9683000000005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790E-20AF-4213-AE7E-3AE6715C1F56}">
  <dimension ref="A3:B9"/>
  <sheetViews>
    <sheetView workbookViewId="0">
      <selection activeCell="M9" sqref="M9"/>
    </sheetView>
  </sheetViews>
  <sheetFormatPr defaultRowHeight="15"/>
  <cols>
    <col min="1" max="1" width="13.140625" bestFit="1" customWidth="1"/>
    <col min="2" max="2" width="15.42578125" bestFit="1" customWidth="1"/>
  </cols>
  <sheetData>
    <row r="3" spans="1:2">
      <c r="A3" s="6" t="s">
        <v>4285</v>
      </c>
      <c r="B3" t="s">
        <v>4290</v>
      </c>
    </row>
    <row r="4" spans="1:2">
      <c r="A4" s="7" t="s">
        <v>2406</v>
      </c>
      <c r="B4">
        <v>562</v>
      </c>
    </row>
    <row r="5" spans="1:2">
      <c r="A5" s="7" t="s">
        <v>2409</v>
      </c>
      <c r="B5">
        <v>508</v>
      </c>
    </row>
    <row r="6" spans="1:2">
      <c r="A6" s="7" t="s">
        <v>2408</v>
      </c>
      <c r="B6">
        <v>535</v>
      </c>
    </row>
    <row r="7" spans="1:2">
      <c r="A7" s="7" t="s">
        <v>2407</v>
      </c>
      <c r="B7">
        <v>542</v>
      </c>
    </row>
    <row r="8" spans="1:2">
      <c r="A8" s="7" t="s">
        <v>2405</v>
      </c>
      <c r="B8">
        <v>497</v>
      </c>
    </row>
    <row r="9" spans="1:2">
      <c r="A9" s="7" t="s">
        <v>4286</v>
      </c>
      <c r="B9">
        <v>2644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7F87-BA40-4D2A-BD04-7444B164C3EB}">
  <dimension ref="A3:D9"/>
  <sheetViews>
    <sheetView workbookViewId="0">
      <selection activeCell="M9" sqref="M9"/>
    </sheetView>
  </sheetViews>
  <sheetFormatPr defaultRowHeight="15"/>
  <cols>
    <col min="1" max="1" width="13.140625" bestFit="1" customWidth="1"/>
    <col min="2" max="2" width="16.5703125" bestFit="1" customWidth="1"/>
    <col min="4" max="4" width="12.5703125" bestFit="1" customWidth="1"/>
  </cols>
  <sheetData>
    <row r="3" spans="1:4">
      <c r="A3" s="6" t="s">
        <v>4285</v>
      </c>
      <c r="B3" t="s">
        <v>4284</v>
      </c>
    </row>
    <row r="4" spans="1:4">
      <c r="A4" s="7" t="s">
        <v>4280</v>
      </c>
      <c r="B4">
        <v>261808.55000000002</v>
      </c>
      <c r="D4" s="5"/>
    </row>
    <row r="5" spans="1:4">
      <c r="A5" s="7" t="s">
        <v>4281</v>
      </c>
      <c r="B5">
        <v>250410.9</v>
      </c>
      <c r="D5" s="5"/>
    </row>
    <row r="6" spans="1:4">
      <c r="A6" s="7" t="s">
        <v>4282</v>
      </c>
      <c r="B6">
        <v>250441.47999999998</v>
      </c>
      <c r="D6" s="5"/>
    </row>
    <row r="7" spans="1:4">
      <c r="A7" s="7" t="s">
        <v>4278</v>
      </c>
      <c r="B7">
        <v>275285.45000000007</v>
      </c>
      <c r="D7" s="5" t="str">
        <f>A7</f>
        <v>Instagram</v>
      </c>
    </row>
    <row r="8" spans="1:4">
      <c r="A8" s="7" t="s">
        <v>4279</v>
      </c>
      <c r="B8">
        <v>226815.5799999999</v>
      </c>
      <c r="D8" s="5"/>
    </row>
    <row r="9" spans="1:4">
      <c r="A9" s="7" t="s">
        <v>4286</v>
      </c>
      <c r="B9">
        <v>1264761.9600000004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E76B3-5E20-43A4-9332-50F5650A9478}">
  <dimension ref="A3:B8"/>
  <sheetViews>
    <sheetView workbookViewId="0">
      <selection activeCell="M9" sqref="M9"/>
    </sheetView>
  </sheetViews>
  <sheetFormatPr defaultRowHeight="15"/>
  <cols>
    <col min="1" max="1" width="13.140625" bestFit="1" customWidth="1"/>
    <col min="2" max="2" width="16.140625" bestFit="1" customWidth="1"/>
    <col min="3" max="3" width="16.5703125" bestFit="1" customWidth="1"/>
  </cols>
  <sheetData>
    <row r="3" spans="1:2">
      <c r="A3" s="6" t="s">
        <v>4285</v>
      </c>
      <c r="B3" t="s">
        <v>4287</v>
      </c>
    </row>
    <row r="4" spans="1:2">
      <c r="A4" s="7" t="s">
        <v>4276</v>
      </c>
      <c r="B4">
        <v>313</v>
      </c>
    </row>
    <row r="5" spans="1:2">
      <c r="A5" s="7" t="s">
        <v>4283</v>
      </c>
      <c r="B5">
        <v>309</v>
      </c>
    </row>
    <row r="6" spans="1:2">
      <c r="A6" s="7" t="s">
        <v>4275</v>
      </c>
      <c r="B6">
        <v>286</v>
      </c>
    </row>
    <row r="7" spans="1:2">
      <c r="A7" s="7" t="s">
        <v>4277</v>
      </c>
      <c r="B7">
        <v>292</v>
      </c>
    </row>
    <row r="8" spans="1:2">
      <c r="A8" s="7" t="s">
        <v>4286</v>
      </c>
      <c r="B8">
        <v>1200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F9B0A-6D5D-414C-BD9D-94FBC369325C}">
  <dimension ref="A3:D14"/>
  <sheetViews>
    <sheetView workbookViewId="0">
      <selection activeCell="M9" sqref="M9"/>
    </sheetView>
  </sheetViews>
  <sheetFormatPr defaultRowHeight="15"/>
  <cols>
    <col min="1" max="1" width="13.140625" bestFit="1" customWidth="1"/>
    <col min="2" max="2" width="16.5703125" style="5" bestFit="1" customWidth="1"/>
  </cols>
  <sheetData>
    <row r="3" spans="1:4">
      <c r="A3" s="6" t="s">
        <v>4285</v>
      </c>
      <c r="B3" t="s">
        <v>4284</v>
      </c>
    </row>
    <row r="4" spans="1:4">
      <c r="A4" s="7" t="s">
        <v>1683</v>
      </c>
      <c r="B4">
        <v>3384.9</v>
      </c>
    </row>
    <row r="5" spans="1:4">
      <c r="A5" s="7" t="s">
        <v>1321</v>
      </c>
      <c r="B5">
        <v>3353.75</v>
      </c>
    </row>
    <row r="6" spans="1:4">
      <c r="A6" s="7" t="s">
        <v>1542</v>
      </c>
      <c r="B6">
        <v>3370.2</v>
      </c>
    </row>
    <row r="7" spans="1:4">
      <c r="A7" s="7" t="s">
        <v>1677</v>
      </c>
      <c r="B7">
        <v>3313.9</v>
      </c>
    </row>
    <row r="8" spans="1:4">
      <c r="A8" s="7" t="s">
        <v>1480</v>
      </c>
      <c r="B8">
        <v>5723.23</v>
      </c>
      <c r="D8" t="str">
        <f>A8</f>
        <v>C38840</v>
      </c>
    </row>
    <row r="9" spans="1:4">
      <c r="A9" s="7" t="s">
        <v>2271</v>
      </c>
      <c r="B9">
        <v>3334</v>
      </c>
    </row>
    <row r="10" spans="1:4">
      <c r="A10" s="7" t="s">
        <v>2000</v>
      </c>
      <c r="B10">
        <v>3456.4</v>
      </c>
    </row>
    <row r="11" spans="1:4">
      <c r="A11" s="7" t="s">
        <v>2237</v>
      </c>
      <c r="B11">
        <v>3322.55</v>
      </c>
    </row>
    <row r="12" spans="1:4">
      <c r="A12" s="7" t="s">
        <v>1540</v>
      </c>
      <c r="B12">
        <v>3352.4</v>
      </c>
    </row>
    <row r="13" spans="1:4">
      <c r="A13" s="7" t="s">
        <v>1845</v>
      </c>
      <c r="B13">
        <v>3390.8</v>
      </c>
    </row>
    <row r="14" spans="1:4">
      <c r="A14" s="7" t="s">
        <v>4286</v>
      </c>
      <c r="B14">
        <v>36002.129999999997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2E44-A073-4F96-B49E-512B73D97C25}">
  <dimension ref="A1:AN5"/>
  <sheetViews>
    <sheetView tabSelected="1" topLeftCell="E1" zoomScale="55" zoomScaleNormal="55" workbookViewId="0">
      <selection activeCell="G22" sqref="G22"/>
    </sheetView>
  </sheetViews>
  <sheetFormatPr defaultRowHeight="15"/>
  <cols>
    <col min="1" max="1" width="14.28515625" bestFit="1" customWidth="1"/>
    <col min="2" max="2" width="11.140625" customWidth="1"/>
    <col min="3" max="3" width="9.140625" customWidth="1"/>
    <col min="4" max="4" width="10.28515625" customWidth="1"/>
    <col min="6" max="6" width="10.5703125" bestFit="1" customWidth="1"/>
  </cols>
  <sheetData>
    <row r="1" spans="1:40" ht="19.5" customHeight="1">
      <c r="A1" s="18" t="s">
        <v>4311</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row>
    <row r="2" spans="1:40" ht="20.25" customHeight="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row>
    <row r="3" spans="1:40" ht="30"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row>
    <row r="5" spans="1:40" s="13" customFormat="1">
      <c r="A5" s="12">
        <f>GETPIVOTDATA("[Measures].[Sum of TotalPrice]",KPI!$A$3)</f>
        <v>1264761.9600000004</v>
      </c>
      <c r="B5" s="12"/>
      <c r="C5" s="12"/>
      <c r="D5" s="13">
        <f>GETPIVOTDATA("[Measures].[Distinct Count of OrderID]",KPI!$A$3)</f>
        <v>1200</v>
      </c>
      <c r="E5" s="13">
        <f>GETPIVOTDATA("[Measures].[Distinct Count of CustomerID]",KPI!$A$3)</f>
        <v>1189</v>
      </c>
      <c r="F5" s="14">
        <f>KPI!E4</f>
        <v>1053.9683000000005</v>
      </c>
      <c r="G5" s="15">
        <f>KPI!F4</f>
        <v>0.19233971690258117</v>
      </c>
      <c r="H5" s="16">
        <f>KPI!G4</f>
        <v>5.4850000000000003</v>
      </c>
    </row>
  </sheetData>
  <mergeCells count="1">
    <mergeCell ref="A1:AN3"/>
  </mergeCells>
  <pageMargins left="0.7" right="0.7" top="0.75" bottom="0.75" header="0.3" footer="0.3"/>
  <pageSetup paperSize="9" scale="35"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ED4B-B1A2-47B1-874A-0FE3FFFFFB8A}">
  <dimension ref="A1:AM3"/>
  <sheetViews>
    <sheetView zoomScale="55" zoomScaleNormal="55" workbookViewId="0">
      <selection activeCell="G22" sqref="G22"/>
    </sheetView>
  </sheetViews>
  <sheetFormatPr defaultRowHeight="15"/>
  <cols>
    <col min="4" max="4" width="6.140625" customWidth="1"/>
  </cols>
  <sheetData>
    <row r="1" spans="1:39" ht="19.5" customHeight="1">
      <c r="A1" s="20" t="s">
        <v>4315</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row>
    <row r="2" spans="1:39" ht="24.75" customHeight="1">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row>
    <row r="3" spans="1:39" ht="42.75" customHeight="1">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row>
  </sheetData>
  <mergeCells count="1">
    <mergeCell ref="A1:AM3"/>
  </mergeCells>
  <pageMargins left="0.7" right="0.7" top="0.75" bottom="0.75" header="0.3" footer="0.3"/>
  <pageSetup paperSize="9" scale="37" orientation="landscape"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D6AD7-EB7A-4EB9-B1DF-8B6CDF43948F}">
  <dimension ref="A1:N1201"/>
  <sheetViews>
    <sheetView topLeftCell="D1" workbookViewId="0">
      <selection activeCell="G22" sqref="G22"/>
    </sheetView>
  </sheetViews>
  <sheetFormatPr defaultRowHeight="15"/>
  <cols>
    <col min="1" max="1" width="12.5703125" bestFit="1" customWidth="1"/>
    <col min="2" max="2" width="10.42578125" bestFit="1" customWidth="1"/>
    <col min="3" max="3" width="16" bestFit="1" customWidth="1"/>
    <col min="4" max="4" width="12.42578125" bestFit="1" customWidth="1"/>
    <col min="5" max="5" width="13.28515625" bestFit="1" customWidth="1"/>
    <col min="6" max="6" width="13.85546875" bestFit="1" customWidth="1"/>
    <col min="7" max="7" width="20.5703125" bestFit="1" customWidth="1"/>
    <col min="8" max="8" width="20.7109375" bestFit="1" customWidth="1"/>
    <col min="9" max="9" width="16.140625" bestFit="1" customWidth="1"/>
    <col min="10" max="10" width="20.28515625" bestFit="1" customWidth="1"/>
    <col min="11" max="11" width="15.85546875" bestFit="1" customWidth="1"/>
    <col min="12" max="12" width="17" bestFit="1" customWidth="1"/>
    <col min="13" max="13" width="18.85546875" bestFit="1" customWidth="1"/>
    <col min="14" max="14" width="14.42578125" bestFit="1"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t="s">
        <v>14</v>
      </c>
      <c r="B2" s="2">
        <v>44930</v>
      </c>
      <c r="C2" t="s">
        <v>1214</v>
      </c>
      <c r="D2" t="s">
        <v>2403</v>
      </c>
      <c r="E2">
        <v>5</v>
      </c>
      <c r="F2">
        <v>570.62</v>
      </c>
      <c r="G2" t="s">
        <v>2410</v>
      </c>
      <c r="H2" t="s">
        <v>3065</v>
      </c>
      <c r="I2" t="s">
        <v>3070</v>
      </c>
      <c r="J2" t="s">
        <v>3075</v>
      </c>
      <c r="K2">
        <v>7</v>
      </c>
      <c r="L2" t="s">
        <v>4275</v>
      </c>
      <c r="M2" t="s">
        <v>4278</v>
      </c>
      <c r="N2">
        <v>2853.1</v>
      </c>
    </row>
    <row r="3" spans="1:14">
      <c r="A3" t="s">
        <v>15</v>
      </c>
      <c r="B3" s="2">
        <v>45527</v>
      </c>
      <c r="C3" t="s">
        <v>1215</v>
      </c>
      <c r="D3" t="s">
        <v>2404</v>
      </c>
      <c r="E3">
        <v>2</v>
      </c>
      <c r="F3">
        <v>151.35</v>
      </c>
      <c r="G3" t="s">
        <v>2411</v>
      </c>
      <c r="H3" t="s">
        <v>3066</v>
      </c>
      <c r="I3" t="s">
        <v>3070</v>
      </c>
      <c r="J3" t="s">
        <v>3076</v>
      </c>
      <c r="K3">
        <v>3</v>
      </c>
      <c r="L3" t="s">
        <v>4275</v>
      </c>
      <c r="M3" t="s">
        <v>4279</v>
      </c>
      <c r="N3">
        <v>302.7</v>
      </c>
    </row>
    <row r="4" spans="1:14">
      <c r="A4" t="s">
        <v>16</v>
      </c>
      <c r="B4" s="2">
        <v>45349</v>
      </c>
      <c r="C4" t="s">
        <v>1216</v>
      </c>
      <c r="D4" t="s">
        <v>2405</v>
      </c>
      <c r="E4">
        <v>5</v>
      </c>
      <c r="F4">
        <v>550.67999999999995</v>
      </c>
      <c r="G4" t="s">
        <v>2412</v>
      </c>
      <c r="H4" t="s">
        <v>3067</v>
      </c>
      <c r="I4" t="s">
        <v>3071</v>
      </c>
      <c r="J4" t="s">
        <v>3077</v>
      </c>
      <c r="K4">
        <v>8</v>
      </c>
      <c r="L4" t="s">
        <v>4276</v>
      </c>
      <c r="M4" t="s">
        <v>4280</v>
      </c>
      <c r="N4">
        <v>2753.4</v>
      </c>
    </row>
    <row r="5" spans="1:14">
      <c r="A5" t="s">
        <v>17</v>
      </c>
      <c r="B5" s="2">
        <v>45214</v>
      </c>
      <c r="C5" t="s">
        <v>1217</v>
      </c>
      <c r="D5" t="s">
        <v>2406</v>
      </c>
      <c r="E5">
        <v>1</v>
      </c>
      <c r="F5">
        <v>273.19</v>
      </c>
      <c r="G5" t="s">
        <v>2413</v>
      </c>
      <c r="H5" t="s">
        <v>3065</v>
      </c>
      <c r="I5" t="s">
        <v>3072</v>
      </c>
      <c r="J5" t="s">
        <v>3078</v>
      </c>
      <c r="K5">
        <v>5</v>
      </c>
      <c r="L5" t="s">
        <v>4275</v>
      </c>
      <c r="M5" t="s">
        <v>4281</v>
      </c>
      <c r="N5">
        <v>273.19</v>
      </c>
    </row>
    <row r="6" spans="1:14">
      <c r="A6" t="s">
        <v>18</v>
      </c>
      <c r="B6" s="2">
        <v>45785</v>
      </c>
      <c r="C6" t="s">
        <v>1218</v>
      </c>
      <c r="D6" t="s">
        <v>2407</v>
      </c>
      <c r="E6">
        <v>4</v>
      </c>
      <c r="F6">
        <v>626.01</v>
      </c>
      <c r="G6" t="s">
        <v>2414</v>
      </c>
      <c r="H6" t="s">
        <v>3066</v>
      </c>
      <c r="I6" t="s">
        <v>3073</v>
      </c>
      <c r="J6" t="s">
        <v>3079</v>
      </c>
      <c r="K6">
        <v>8</v>
      </c>
      <c r="L6" t="s">
        <v>4275</v>
      </c>
      <c r="M6" t="s">
        <v>4280</v>
      </c>
      <c r="N6">
        <v>2504.04</v>
      </c>
    </row>
    <row r="7" spans="1:14">
      <c r="A7" t="s">
        <v>19</v>
      </c>
      <c r="B7" s="2">
        <v>45222</v>
      </c>
      <c r="C7" t="s">
        <v>1219</v>
      </c>
      <c r="D7" t="s">
        <v>2404</v>
      </c>
      <c r="E7">
        <v>2</v>
      </c>
      <c r="F7">
        <v>245.86</v>
      </c>
      <c r="G7" t="s">
        <v>2415</v>
      </c>
      <c r="H7" t="s">
        <v>3067</v>
      </c>
      <c r="I7" t="s">
        <v>3070</v>
      </c>
      <c r="J7" t="s">
        <v>3080</v>
      </c>
      <c r="K7">
        <v>4</v>
      </c>
      <c r="L7" t="s">
        <v>4275</v>
      </c>
      <c r="M7" t="s">
        <v>4278</v>
      </c>
      <c r="N7">
        <v>491.72</v>
      </c>
    </row>
    <row r="8" spans="1:14">
      <c r="A8" t="s">
        <v>20</v>
      </c>
      <c r="B8" s="2">
        <v>45825</v>
      </c>
      <c r="C8" t="s">
        <v>1220</v>
      </c>
      <c r="D8" t="s">
        <v>2408</v>
      </c>
      <c r="E8">
        <v>1</v>
      </c>
      <c r="F8">
        <v>664.42</v>
      </c>
      <c r="G8" t="s">
        <v>2416</v>
      </c>
      <c r="H8" t="s">
        <v>3068</v>
      </c>
      <c r="I8" t="s">
        <v>3072</v>
      </c>
      <c r="J8" t="s">
        <v>3081</v>
      </c>
      <c r="K8">
        <v>6</v>
      </c>
      <c r="L8" t="s">
        <v>4275</v>
      </c>
      <c r="M8" t="s">
        <v>4281</v>
      </c>
      <c r="N8">
        <v>664.42</v>
      </c>
    </row>
    <row r="9" spans="1:14">
      <c r="A9" t="s">
        <v>21</v>
      </c>
      <c r="B9" s="2">
        <v>45058</v>
      </c>
      <c r="C9" t="s">
        <v>1221</v>
      </c>
      <c r="D9" t="s">
        <v>2403</v>
      </c>
      <c r="E9">
        <v>5</v>
      </c>
      <c r="F9">
        <v>149.55000000000001</v>
      </c>
      <c r="G9" t="s">
        <v>2417</v>
      </c>
      <c r="H9" t="s">
        <v>3069</v>
      </c>
      <c r="I9" t="s">
        <v>3070</v>
      </c>
      <c r="J9" t="s">
        <v>3082</v>
      </c>
      <c r="K9">
        <v>9</v>
      </c>
      <c r="L9" t="s">
        <v>4276</v>
      </c>
      <c r="M9" t="s">
        <v>4281</v>
      </c>
      <c r="N9">
        <v>747.75</v>
      </c>
    </row>
    <row r="10" spans="1:14">
      <c r="A10" t="s">
        <v>22</v>
      </c>
      <c r="B10" s="2">
        <v>45749</v>
      </c>
      <c r="C10" t="s">
        <v>1222</v>
      </c>
      <c r="D10" t="s">
        <v>2404</v>
      </c>
      <c r="E10">
        <v>2</v>
      </c>
      <c r="F10">
        <v>134.28</v>
      </c>
      <c r="G10" t="s">
        <v>2418</v>
      </c>
      <c r="H10" t="s">
        <v>3068</v>
      </c>
      <c r="I10" t="s">
        <v>3071</v>
      </c>
      <c r="J10" t="s">
        <v>3083</v>
      </c>
      <c r="K10">
        <v>2</v>
      </c>
      <c r="L10" t="s">
        <v>4283</v>
      </c>
      <c r="M10" t="s">
        <v>4280</v>
      </c>
      <c r="N10">
        <v>268.56</v>
      </c>
    </row>
    <row r="11" spans="1:14">
      <c r="A11" t="s">
        <v>23</v>
      </c>
      <c r="B11" s="2">
        <v>45251</v>
      </c>
      <c r="C11" t="s">
        <v>1223</v>
      </c>
      <c r="D11" t="s">
        <v>2409</v>
      </c>
      <c r="E11">
        <v>4</v>
      </c>
      <c r="F11">
        <v>509.38</v>
      </c>
      <c r="G11" t="s">
        <v>2419</v>
      </c>
      <c r="H11" t="s">
        <v>3067</v>
      </c>
      <c r="I11" t="s">
        <v>3070</v>
      </c>
      <c r="J11" t="s">
        <v>3084</v>
      </c>
      <c r="K11">
        <v>6</v>
      </c>
      <c r="L11" t="s">
        <v>4275</v>
      </c>
      <c r="M11" t="s">
        <v>4282</v>
      </c>
      <c r="N11">
        <v>2037.52</v>
      </c>
    </row>
    <row r="12" spans="1:14">
      <c r="A12" t="s">
        <v>24</v>
      </c>
      <c r="B12" s="2">
        <v>45289</v>
      </c>
      <c r="C12" t="s">
        <v>1224</v>
      </c>
      <c r="D12" t="s">
        <v>2405</v>
      </c>
      <c r="E12">
        <v>5</v>
      </c>
      <c r="F12">
        <v>625.97</v>
      </c>
      <c r="G12" t="s">
        <v>2420</v>
      </c>
      <c r="H12" t="s">
        <v>3067</v>
      </c>
      <c r="I12" t="s">
        <v>3072</v>
      </c>
      <c r="J12" t="s">
        <v>3085</v>
      </c>
      <c r="K12">
        <v>9</v>
      </c>
      <c r="L12" t="s">
        <v>4277</v>
      </c>
      <c r="M12" t="s">
        <v>4278</v>
      </c>
      <c r="N12">
        <v>3129.85</v>
      </c>
    </row>
    <row r="13" spans="1:14">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c r="A14" t="s">
        <v>26</v>
      </c>
      <c r="B14" s="2">
        <v>45580</v>
      </c>
      <c r="C14" t="s">
        <v>1226</v>
      </c>
      <c r="D14" t="s">
        <v>2403</v>
      </c>
      <c r="E14">
        <v>2</v>
      </c>
      <c r="F14">
        <v>180.5</v>
      </c>
      <c r="G14" t="s">
        <v>2422</v>
      </c>
      <c r="H14" t="s">
        <v>3065</v>
      </c>
      <c r="I14" t="s">
        <v>3074</v>
      </c>
      <c r="J14" t="s">
        <v>3087</v>
      </c>
      <c r="K14">
        <v>6</v>
      </c>
      <c r="L14" t="s">
        <v>4276</v>
      </c>
      <c r="M14" t="s">
        <v>4279</v>
      </c>
      <c r="N14">
        <v>361</v>
      </c>
    </row>
    <row r="15" spans="1:14">
      <c r="A15" t="s">
        <v>27</v>
      </c>
      <c r="B15" s="2">
        <v>45168</v>
      </c>
      <c r="C15" t="s">
        <v>1227</v>
      </c>
      <c r="D15" t="s">
        <v>2408</v>
      </c>
      <c r="E15">
        <v>3</v>
      </c>
      <c r="F15">
        <v>201.49</v>
      </c>
      <c r="G15" t="s">
        <v>2423</v>
      </c>
      <c r="H15" t="s">
        <v>3067</v>
      </c>
      <c r="I15" t="s">
        <v>3072</v>
      </c>
      <c r="J15" t="s">
        <v>3088</v>
      </c>
      <c r="K15">
        <v>4</v>
      </c>
      <c r="L15" t="s">
        <v>4276</v>
      </c>
      <c r="M15" t="s">
        <v>4281</v>
      </c>
      <c r="N15">
        <v>604.47</v>
      </c>
    </row>
    <row r="16" spans="1:14">
      <c r="A16" t="s">
        <v>28</v>
      </c>
      <c r="B16" s="2">
        <v>45012</v>
      </c>
      <c r="C16" t="s">
        <v>1228</v>
      </c>
      <c r="D16" t="s">
        <v>2405</v>
      </c>
      <c r="E16">
        <v>2</v>
      </c>
      <c r="F16">
        <v>393.33</v>
      </c>
      <c r="G16" t="s">
        <v>2424</v>
      </c>
      <c r="H16" t="s">
        <v>3065</v>
      </c>
      <c r="I16" t="s">
        <v>3074</v>
      </c>
      <c r="J16" t="s">
        <v>3089</v>
      </c>
      <c r="K16">
        <v>3</v>
      </c>
      <c r="L16" t="s">
        <v>4275</v>
      </c>
      <c r="M16" t="s">
        <v>4278</v>
      </c>
      <c r="N16">
        <v>786.66</v>
      </c>
    </row>
    <row r="17" spans="1:14">
      <c r="A17" t="s">
        <v>29</v>
      </c>
      <c r="B17" s="2">
        <v>45124</v>
      </c>
      <c r="C17" t="s">
        <v>1229</v>
      </c>
      <c r="D17" t="s">
        <v>2407</v>
      </c>
      <c r="E17">
        <v>1</v>
      </c>
      <c r="F17">
        <v>473.96</v>
      </c>
      <c r="G17" t="s">
        <v>2425</v>
      </c>
      <c r="H17" t="s">
        <v>3069</v>
      </c>
      <c r="I17" t="s">
        <v>3073</v>
      </c>
      <c r="J17" t="s">
        <v>3090</v>
      </c>
      <c r="K17">
        <v>3</v>
      </c>
      <c r="L17" t="s">
        <v>4283</v>
      </c>
      <c r="M17" t="s">
        <v>4282</v>
      </c>
      <c r="N17">
        <v>473.96</v>
      </c>
    </row>
    <row r="18" spans="1:14">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c r="A19" t="s">
        <v>31</v>
      </c>
      <c r="B19" s="2">
        <v>45353</v>
      </c>
      <c r="C19" t="s">
        <v>1231</v>
      </c>
      <c r="D19" t="s">
        <v>2405</v>
      </c>
      <c r="E19">
        <v>1</v>
      </c>
      <c r="F19">
        <v>423.4</v>
      </c>
      <c r="G19" t="s">
        <v>2427</v>
      </c>
      <c r="H19" t="s">
        <v>3065</v>
      </c>
      <c r="I19" t="s">
        <v>3070</v>
      </c>
      <c r="J19" t="s">
        <v>3092</v>
      </c>
      <c r="K19">
        <v>3</v>
      </c>
      <c r="L19" t="s">
        <v>4283</v>
      </c>
      <c r="M19" t="s">
        <v>4279</v>
      </c>
      <c r="N19">
        <v>423.4</v>
      </c>
    </row>
    <row r="20" spans="1:14">
      <c r="A20" t="s">
        <v>32</v>
      </c>
      <c r="B20" s="2">
        <v>45742</v>
      </c>
      <c r="C20" t="s">
        <v>1232</v>
      </c>
      <c r="D20" t="s">
        <v>2409</v>
      </c>
      <c r="E20">
        <v>1</v>
      </c>
      <c r="F20">
        <v>431.44</v>
      </c>
      <c r="G20" t="s">
        <v>2428</v>
      </c>
      <c r="H20" t="s">
        <v>3068</v>
      </c>
      <c r="I20" t="s">
        <v>3074</v>
      </c>
      <c r="J20" t="s">
        <v>3093</v>
      </c>
      <c r="K20">
        <v>3</v>
      </c>
      <c r="L20" t="s">
        <v>4275</v>
      </c>
      <c r="M20" t="s">
        <v>4281</v>
      </c>
      <c r="N20">
        <v>431.44</v>
      </c>
    </row>
    <row r="21" spans="1:14">
      <c r="A21" t="s">
        <v>33</v>
      </c>
      <c r="B21" s="2">
        <v>44949</v>
      </c>
      <c r="C21" t="s">
        <v>1233</v>
      </c>
      <c r="D21" t="s">
        <v>2403</v>
      </c>
      <c r="E21">
        <v>5</v>
      </c>
      <c r="F21">
        <v>224</v>
      </c>
      <c r="G21" t="s">
        <v>2429</v>
      </c>
      <c r="H21" t="s">
        <v>3069</v>
      </c>
      <c r="I21" t="s">
        <v>3072</v>
      </c>
      <c r="J21" t="s">
        <v>3094</v>
      </c>
      <c r="K21">
        <v>9</v>
      </c>
      <c r="L21" t="s">
        <v>4275</v>
      </c>
      <c r="M21" t="s">
        <v>4282</v>
      </c>
      <c r="N21">
        <v>1120</v>
      </c>
    </row>
    <row r="22" spans="1:14">
      <c r="A22" t="s">
        <v>34</v>
      </c>
      <c r="B22" s="2">
        <v>45054</v>
      </c>
      <c r="C22" t="s">
        <v>1234</v>
      </c>
      <c r="D22" t="s">
        <v>2406</v>
      </c>
      <c r="E22">
        <v>5</v>
      </c>
      <c r="F22">
        <v>62.51</v>
      </c>
      <c r="G22" t="s">
        <v>2430</v>
      </c>
      <c r="H22" t="s">
        <v>3069</v>
      </c>
      <c r="I22" t="s">
        <v>3074</v>
      </c>
      <c r="J22" t="s">
        <v>3095</v>
      </c>
      <c r="K22">
        <v>9</v>
      </c>
      <c r="L22" t="s">
        <v>4277</v>
      </c>
      <c r="M22" t="s">
        <v>4278</v>
      </c>
      <c r="N22">
        <v>312.55</v>
      </c>
    </row>
    <row r="23" spans="1:14">
      <c r="A23" t="s">
        <v>35</v>
      </c>
      <c r="B23" s="2">
        <v>45613</v>
      </c>
      <c r="C23" t="s">
        <v>1235</v>
      </c>
      <c r="D23" t="s">
        <v>2403</v>
      </c>
      <c r="E23">
        <v>4</v>
      </c>
      <c r="F23">
        <v>342.95</v>
      </c>
      <c r="G23" t="s">
        <v>2431</v>
      </c>
      <c r="H23" t="s">
        <v>3069</v>
      </c>
      <c r="I23" t="s">
        <v>3073</v>
      </c>
      <c r="J23" t="s">
        <v>3096</v>
      </c>
      <c r="K23">
        <v>6</v>
      </c>
      <c r="L23" t="s">
        <v>4283</v>
      </c>
      <c r="M23" t="s">
        <v>4282</v>
      </c>
      <c r="N23">
        <v>1371.8</v>
      </c>
    </row>
    <row r="24" spans="1:14">
      <c r="A24" t="s">
        <v>36</v>
      </c>
      <c r="B24" s="2">
        <v>44955</v>
      </c>
      <c r="C24" t="s">
        <v>1236</v>
      </c>
      <c r="D24" t="s">
        <v>2403</v>
      </c>
      <c r="E24">
        <v>2</v>
      </c>
      <c r="F24">
        <v>49.62</v>
      </c>
      <c r="G24" t="s">
        <v>2432</v>
      </c>
      <c r="H24" t="s">
        <v>3066</v>
      </c>
      <c r="I24" t="s">
        <v>3074</v>
      </c>
      <c r="J24" t="s">
        <v>3097</v>
      </c>
      <c r="K24">
        <v>2</v>
      </c>
      <c r="L24" t="s">
        <v>4275</v>
      </c>
      <c r="M24" t="s">
        <v>4282</v>
      </c>
      <c r="N24">
        <v>99.24</v>
      </c>
    </row>
    <row r="25" spans="1:14">
      <c r="A25" t="s">
        <v>37</v>
      </c>
      <c r="B25" s="2">
        <v>45756</v>
      </c>
      <c r="C25" t="s">
        <v>1237</v>
      </c>
      <c r="D25" t="s">
        <v>2404</v>
      </c>
      <c r="E25">
        <v>4</v>
      </c>
      <c r="F25">
        <v>273.25</v>
      </c>
      <c r="G25" t="s">
        <v>2433</v>
      </c>
      <c r="H25" t="s">
        <v>3065</v>
      </c>
      <c r="I25" t="s">
        <v>3071</v>
      </c>
      <c r="J25" t="s">
        <v>3098</v>
      </c>
      <c r="K25">
        <v>5</v>
      </c>
      <c r="L25" t="s">
        <v>4276</v>
      </c>
      <c r="M25" t="s">
        <v>4279</v>
      </c>
      <c r="N25">
        <v>1093</v>
      </c>
    </row>
    <row r="26" spans="1:14">
      <c r="A26" t="s">
        <v>38</v>
      </c>
      <c r="B26" s="2">
        <v>45595</v>
      </c>
      <c r="C26" t="s">
        <v>1238</v>
      </c>
      <c r="D26" t="s">
        <v>2408</v>
      </c>
      <c r="E26">
        <v>2</v>
      </c>
      <c r="F26">
        <v>230.95</v>
      </c>
      <c r="G26" t="s">
        <v>2434</v>
      </c>
      <c r="H26" t="s">
        <v>3066</v>
      </c>
      <c r="I26" t="s">
        <v>3073</v>
      </c>
      <c r="J26" t="s">
        <v>3099</v>
      </c>
      <c r="K26">
        <v>3</v>
      </c>
      <c r="L26" t="s">
        <v>4277</v>
      </c>
      <c r="M26" t="s">
        <v>4279</v>
      </c>
      <c r="N26">
        <v>461.9</v>
      </c>
    </row>
    <row r="27" spans="1:14">
      <c r="A27" t="s">
        <v>39</v>
      </c>
      <c r="B27" s="2">
        <v>45497</v>
      </c>
      <c r="C27" t="s">
        <v>1239</v>
      </c>
      <c r="D27" t="s">
        <v>2403</v>
      </c>
      <c r="E27">
        <v>1</v>
      </c>
      <c r="F27">
        <v>399.98</v>
      </c>
      <c r="G27" t="s">
        <v>2435</v>
      </c>
      <c r="H27" t="s">
        <v>3065</v>
      </c>
      <c r="I27" t="s">
        <v>3073</v>
      </c>
      <c r="J27" t="s">
        <v>3100</v>
      </c>
      <c r="K27">
        <v>3</v>
      </c>
      <c r="L27" t="s">
        <v>4277</v>
      </c>
      <c r="M27" t="s">
        <v>4280</v>
      </c>
      <c r="N27">
        <v>399.98</v>
      </c>
    </row>
    <row r="28" spans="1:14">
      <c r="A28" t="s">
        <v>40</v>
      </c>
      <c r="B28" s="2">
        <v>45357</v>
      </c>
      <c r="C28" t="s">
        <v>1240</v>
      </c>
      <c r="D28" t="s">
        <v>2408</v>
      </c>
      <c r="E28">
        <v>5</v>
      </c>
      <c r="F28">
        <v>59.55</v>
      </c>
      <c r="G28" t="s">
        <v>2436</v>
      </c>
      <c r="H28" t="s">
        <v>3066</v>
      </c>
      <c r="I28" t="s">
        <v>3073</v>
      </c>
      <c r="J28" t="s">
        <v>3101</v>
      </c>
      <c r="K28">
        <v>6</v>
      </c>
      <c r="L28" t="s">
        <v>4283</v>
      </c>
      <c r="M28" t="s">
        <v>4279</v>
      </c>
      <c r="N28">
        <v>297.75</v>
      </c>
    </row>
    <row r="29" spans="1:14">
      <c r="A29" t="s">
        <v>41</v>
      </c>
      <c r="B29" s="2">
        <v>45344</v>
      </c>
      <c r="C29" t="s">
        <v>1241</v>
      </c>
      <c r="D29" t="s">
        <v>2407</v>
      </c>
      <c r="E29">
        <v>1</v>
      </c>
      <c r="F29">
        <v>472.74</v>
      </c>
      <c r="G29" t="s">
        <v>2437</v>
      </c>
      <c r="H29" t="s">
        <v>3066</v>
      </c>
      <c r="I29" t="s">
        <v>3070</v>
      </c>
      <c r="J29" t="s">
        <v>3102</v>
      </c>
      <c r="K29">
        <v>6</v>
      </c>
      <c r="L29" t="s">
        <v>4277</v>
      </c>
      <c r="M29" t="s">
        <v>4282</v>
      </c>
      <c r="N29">
        <v>472.74</v>
      </c>
    </row>
    <row r="30" spans="1:14">
      <c r="A30" t="s">
        <v>42</v>
      </c>
      <c r="B30" s="2">
        <v>45251</v>
      </c>
      <c r="C30" t="s">
        <v>1242</v>
      </c>
      <c r="D30" t="s">
        <v>2404</v>
      </c>
      <c r="E30">
        <v>4</v>
      </c>
      <c r="F30">
        <v>160.07</v>
      </c>
      <c r="G30" t="s">
        <v>2438</v>
      </c>
      <c r="H30" t="s">
        <v>3066</v>
      </c>
      <c r="I30" t="s">
        <v>3074</v>
      </c>
      <c r="J30" t="s">
        <v>3103</v>
      </c>
      <c r="K30">
        <v>5</v>
      </c>
      <c r="L30" t="s">
        <v>4283</v>
      </c>
      <c r="M30" t="s">
        <v>4280</v>
      </c>
      <c r="N30">
        <v>640.28</v>
      </c>
    </row>
    <row r="31" spans="1:14">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c r="A32" t="s">
        <v>44</v>
      </c>
      <c r="B32" s="2">
        <v>45738</v>
      </c>
      <c r="C32" t="s">
        <v>1244</v>
      </c>
      <c r="D32" t="s">
        <v>2403</v>
      </c>
      <c r="E32">
        <v>2</v>
      </c>
      <c r="F32">
        <v>426.7</v>
      </c>
      <c r="G32" t="s">
        <v>2440</v>
      </c>
      <c r="H32" t="s">
        <v>3066</v>
      </c>
      <c r="I32" t="s">
        <v>3074</v>
      </c>
      <c r="J32" t="s">
        <v>3105</v>
      </c>
      <c r="K32">
        <v>5</v>
      </c>
      <c r="L32" t="s">
        <v>4275</v>
      </c>
      <c r="M32" t="s">
        <v>4279</v>
      </c>
      <c r="N32">
        <v>853.4</v>
      </c>
    </row>
    <row r="33" spans="1:14">
      <c r="A33" t="s">
        <v>45</v>
      </c>
      <c r="B33" s="2">
        <v>45107</v>
      </c>
      <c r="C33" t="s">
        <v>1245</v>
      </c>
      <c r="D33" t="s">
        <v>2406</v>
      </c>
      <c r="E33">
        <v>3</v>
      </c>
      <c r="F33">
        <v>500.08</v>
      </c>
      <c r="G33" t="s">
        <v>2441</v>
      </c>
      <c r="H33" t="s">
        <v>3065</v>
      </c>
      <c r="I33" t="s">
        <v>3072</v>
      </c>
      <c r="J33" t="s">
        <v>3106</v>
      </c>
      <c r="K33">
        <v>6</v>
      </c>
      <c r="L33" t="s">
        <v>4283</v>
      </c>
      <c r="M33" t="s">
        <v>4281</v>
      </c>
      <c r="N33">
        <v>1500.24</v>
      </c>
    </row>
    <row r="34" spans="1:14">
      <c r="A34" t="s">
        <v>46</v>
      </c>
      <c r="B34" s="2">
        <v>45047</v>
      </c>
      <c r="C34" t="s">
        <v>1246</v>
      </c>
      <c r="D34" t="s">
        <v>2405</v>
      </c>
      <c r="E34">
        <v>5</v>
      </c>
      <c r="F34">
        <v>536.72</v>
      </c>
      <c r="G34" t="s">
        <v>2442</v>
      </c>
      <c r="H34" t="s">
        <v>3069</v>
      </c>
      <c r="I34" t="s">
        <v>3073</v>
      </c>
      <c r="J34" t="s">
        <v>3107</v>
      </c>
      <c r="K34">
        <v>10</v>
      </c>
      <c r="L34" t="s">
        <v>4283</v>
      </c>
      <c r="M34" t="s">
        <v>4280</v>
      </c>
      <c r="N34">
        <v>2683.6</v>
      </c>
    </row>
    <row r="35" spans="1:14">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c r="A36" t="s">
        <v>48</v>
      </c>
      <c r="B36" s="2">
        <v>44933</v>
      </c>
      <c r="C36" t="s">
        <v>1248</v>
      </c>
      <c r="D36" t="s">
        <v>2406</v>
      </c>
      <c r="E36">
        <v>4</v>
      </c>
      <c r="F36">
        <v>576.52</v>
      </c>
      <c r="G36" t="s">
        <v>2444</v>
      </c>
      <c r="H36" t="s">
        <v>3067</v>
      </c>
      <c r="I36" t="s">
        <v>3074</v>
      </c>
      <c r="J36" t="s">
        <v>3109</v>
      </c>
      <c r="K36">
        <v>5</v>
      </c>
      <c r="L36" t="s">
        <v>4277</v>
      </c>
      <c r="M36" t="s">
        <v>4281</v>
      </c>
      <c r="N36">
        <v>2306.08</v>
      </c>
    </row>
    <row r="37" spans="1:14">
      <c r="A37" t="s">
        <v>49</v>
      </c>
      <c r="B37" s="2">
        <v>45633</v>
      </c>
      <c r="C37" t="s">
        <v>1249</v>
      </c>
      <c r="D37" t="s">
        <v>2403</v>
      </c>
      <c r="E37">
        <v>2</v>
      </c>
      <c r="F37">
        <v>465.15</v>
      </c>
      <c r="G37" t="s">
        <v>2445</v>
      </c>
      <c r="H37" t="s">
        <v>3066</v>
      </c>
      <c r="I37" t="s">
        <v>3070</v>
      </c>
      <c r="J37" t="s">
        <v>3110</v>
      </c>
      <c r="K37">
        <v>2</v>
      </c>
      <c r="L37" t="s">
        <v>4275</v>
      </c>
      <c r="M37" t="s">
        <v>4281</v>
      </c>
      <c r="N37">
        <v>930.3</v>
      </c>
    </row>
    <row r="38" spans="1:14">
      <c r="A38" t="s">
        <v>50</v>
      </c>
      <c r="B38" s="2">
        <v>45785</v>
      </c>
      <c r="C38" t="s">
        <v>1250</v>
      </c>
      <c r="D38" t="s">
        <v>2408</v>
      </c>
      <c r="E38">
        <v>2</v>
      </c>
      <c r="F38">
        <v>534.42999999999995</v>
      </c>
      <c r="G38" t="s">
        <v>2446</v>
      </c>
      <c r="H38" t="s">
        <v>3065</v>
      </c>
      <c r="I38" t="s">
        <v>3074</v>
      </c>
      <c r="J38" t="s">
        <v>3111</v>
      </c>
      <c r="K38">
        <v>5</v>
      </c>
      <c r="L38" t="s">
        <v>4283</v>
      </c>
      <c r="M38" t="s">
        <v>4281</v>
      </c>
      <c r="N38">
        <v>1068.8599999999999</v>
      </c>
    </row>
    <row r="39" spans="1:14">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c r="A40" t="s">
        <v>52</v>
      </c>
      <c r="B40" s="2">
        <v>45645</v>
      </c>
      <c r="C40" t="s">
        <v>1252</v>
      </c>
      <c r="D40" t="s">
        <v>2408</v>
      </c>
      <c r="E40">
        <v>1</v>
      </c>
      <c r="F40">
        <v>245.89</v>
      </c>
      <c r="G40" t="s">
        <v>2448</v>
      </c>
      <c r="H40" t="s">
        <v>3065</v>
      </c>
      <c r="I40" t="s">
        <v>3073</v>
      </c>
      <c r="J40" t="s">
        <v>3113</v>
      </c>
      <c r="K40">
        <v>3</v>
      </c>
      <c r="L40" t="s">
        <v>4275</v>
      </c>
      <c r="M40" t="s">
        <v>4282</v>
      </c>
      <c r="N40">
        <v>245.89</v>
      </c>
    </row>
    <row r="41" spans="1:14">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c r="A42" t="s">
        <v>54</v>
      </c>
      <c r="B42" s="2">
        <v>45158</v>
      </c>
      <c r="C42" t="s">
        <v>1254</v>
      </c>
      <c r="D42" t="s">
        <v>2409</v>
      </c>
      <c r="E42">
        <v>2</v>
      </c>
      <c r="F42">
        <v>344.02</v>
      </c>
      <c r="G42" t="s">
        <v>2450</v>
      </c>
      <c r="H42" t="s">
        <v>3066</v>
      </c>
      <c r="I42" t="s">
        <v>3073</v>
      </c>
      <c r="J42" t="s">
        <v>3115</v>
      </c>
      <c r="K42">
        <v>4</v>
      </c>
      <c r="L42" t="s">
        <v>4276</v>
      </c>
      <c r="M42" t="s">
        <v>4278</v>
      </c>
      <c r="N42">
        <v>688.04</v>
      </c>
    </row>
    <row r="43" spans="1:14">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c r="A44" t="s">
        <v>56</v>
      </c>
      <c r="B44" s="2">
        <v>45418</v>
      </c>
      <c r="C44" t="s">
        <v>1256</v>
      </c>
      <c r="D44" t="s">
        <v>2407</v>
      </c>
      <c r="E44">
        <v>2</v>
      </c>
      <c r="F44">
        <v>151.66</v>
      </c>
      <c r="G44" t="s">
        <v>2424</v>
      </c>
      <c r="H44" t="s">
        <v>3069</v>
      </c>
      <c r="I44" t="s">
        <v>3071</v>
      </c>
      <c r="J44" t="s">
        <v>3117</v>
      </c>
      <c r="K44">
        <v>6</v>
      </c>
      <c r="L44" t="s">
        <v>4283</v>
      </c>
      <c r="M44" t="s">
        <v>4278</v>
      </c>
      <c r="N44">
        <v>303.32</v>
      </c>
    </row>
    <row r="45" spans="1:14">
      <c r="A45" t="s">
        <v>57</v>
      </c>
      <c r="B45" s="2">
        <v>45274</v>
      </c>
      <c r="C45" t="s">
        <v>1257</v>
      </c>
      <c r="D45" t="s">
        <v>2406</v>
      </c>
      <c r="E45">
        <v>3</v>
      </c>
      <c r="F45">
        <v>499.21</v>
      </c>
      <c r="G45" t="s">
        <v>2452</v>
      </c>
      <c r="H45" t="s">
        <v>3066</v>
      </c>
      <c r="I45" t="s">
        <v>3071</v>
      </c>
      <c r="J45" t="s">
        <v>3118</v>
      </c>
      <c r="K45">
        <v>8</v>
      </c>
      <c r="L45" t="s">
        <v>4283</v>
      </c>
      <c r="M45" t="s">
        <v>4278</v>
      </c>
      <c r="N45">
        <v>1497.63</v>
      </c>
    </row>
    <row r="46" spans="1:14">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c r="A47" t="s">
        <v>59</v>
      </c>
      <c r="B47" s="2">
        <v>45332</v>
      </c>
      <c r="C47" t="s">
        <v>1259</v>
      </c>
      <c r="D47" t="s">
        <v>2406</v>
      </c>
      <c r="E47">
        <v>1</v>
      </c>
      <c r="F47">
        <v>317.25</v>
      </c>
      <c r="G47" t="s">
        <v>2453</v>
      </c>
      <c r="H47" t="s">
        <v>3065</v>
      </c>
      <c r="I47" t="s">
        <v>3072</v>
      </c>
      <c r="J47" t="s">
        <v>3120</v>
      </c>
      <c r="K47">
        <v>1</v>
      </c>
      <c r="L47" t="s">
        <v>4275</v>
      </c>
      <c r="M47" t="s">
        <v>4281</v>
      </c>
      <c r="N47">
        <v>317.25</v>
      </c>
    </row>
    <row r="48" spans="1:14">
      <c r="A48" t="s">
        <v>60</v>
      </c>
      <c r="B48" s="2">
        <v>45469</v>
      </c>
      <c r="C48" t="s">
        <v>1260</v>
      </c>
      <c r="D48" t="s">
        <v>2403</v>
      </c>
      <c r="E48">
        <v>4</v>
      </c>
      <c r="F48">
        <v>550.14</v>
      </c>
      <c r="G48" t="s">
        <v>2454</v>
      </c>
      <c r="H48" t="s">
        <v>3065</v>
      </c>
      <c r="I48" t="s">
        <v>3074</v>
      </c>
      <c r="J48" t="s">
        <v>3121</v>
      </c>
      <c r="K48">
        <v>4</v>
      </c>
      <c r="L48" t="s">
        <v>4276</v>
      </c>
      <c r="M48" t="s">
        <v>4278</v>
      </c>
      <c r="N48">
        <v>2200.56</v>
      </c>
    </row>
    <row r="49" spans="1:14">
      <c r="A49" t="s">
        <v>61</v>
      </c>
      <c r="B49" s="2">
        <v>45126</v>
      </c>
      <c r="C49" t="s">
        <v>1261</v>
      </c>
      <c r="D49" t="s">
        <v>2409</v>
      </c>
      <c r="E49">
        <v>2</v>
      </c>
      <c r="F49">
        <v>209.94</v>
      </c>
      <c r="G49" t="s">
        <v>2455</v>
      </c>
      <c r="H49" t="s">
        <v>3067</v>
      </c>
      <c r="I49" t="s">
        <v>3072</v>
      </c>
      <c r="J49" t="s">
        <v>3122</v>
      </c>
      <c r="K49">
        <v>3</v>
      </c>
      <c r="L49" t="s">
        <v>4276</v>
      </c>
      <c r="M49" t="s">
        <v>4280</v>
      </c>
      <c r="N49">
        <v>419.88</v>
      </c>
    </row>
    <row r="50" spans="1:14">
      <c r="A50" t="s">
        <v>62</v>
      </c>
      <c r="B50" s="2">
        <v>45164</v>
      </c>
      <c r="C50" t="s">
        <v>1262</v>
      </c>
      <c r="D50" t="s">
        <v>2403</v>
      </c>
      <c r="E50">
        <v>2</v>
      </c>
      <c r="F50">
        <v>80.77</v>
      </c>
      <c r="G50" t="s">
        <v>2456</v>
      </c>
      <c r="H50" t="s">
        <v>3065</v>
      </c>
      <c r="I50" t="s">
        <v>3070</v>
      </c>
      <c r="J50" t="s">
        <v>3123</v>
      </c>
      <c r="K50">
        <v>4</v>
      </c>
      <c r="L50" t="s">
        <v>4283</v>
      </c>
      <c r="M50" t="s">
        <v>4282</v>
      </c>
      <c r="N50">
        <v>161.54</v>
      </c>
    </row>
    <row r="51" spans="1:14">
      <c r="A51" t="s">
        <v>63</v>
      </c>
      <c r="B51" s="2">
        <v>45206</v>
      </c>
      <c r="C51" t="s">
        <v>1263</v>
      </c>
      <c r="D51" t="s">
        <v>2407</v>
      </c>
      <c r="E51">
        <v>1</v>
      </c>
      <c r="F51">
        <v>30.44</v>
      </c>
      <c r="G51" t="s">
        <v>2432</v>
      </c>
      <c r="H51" t="s">
        <v>3067</v>
      </c>
      <c r="I51" t="s">
        <v>3070</v>
      </c>
      <c r="J51" t="s">
        <v>3124</v>
      </c>
      <c r="K51">
        <v>1</v>
      </c>
      <c r="L51" t="s">
        <v>4275</v>
      </c>
      <c r="M51" t="s">
        <v>4280</v>
      </c>
      <c r="N51">
        <v>30.44</v>
      </c>
    </row>
    <row r="52" spans="1:14">
      <c r="A52" t="s">
        <v>64</v>
      </c>
      <c r="B52" s="2">
        <v>45138</v>
      </c>
      <c r="C52" t="s">
        <v>1264</v>
      </c>
      <c r="D52" t="s">
        <v>2405</v>
      </c>
      <c r="E52">
        <v>1</v>
      </c>
      <c r="F52">
        <v>179.22</v>
      </c>
      <c r="G52" t="s">
        <v>2457</v>
      </c>
      <c r="H52" t="s">
        <v>3066</v>
      </c>
      <c r="I52" t="s">
        <v>3071</v>
      </c>
      <c r="J52" t="s">
        <v>3125</v>
      </c>
      <c r="K52">
        <v>6</v>
      </c>
      <c r="L52" t="s">
        <v>4276</v>
      </c>
      <c r="M52" t="s">
        <v>4278</v>
      </c>
      <c r="N52">
        <v>179.22</v>
      </c>
    </row>
    <row r="53" spans="1:14">
      <c r="A53" t="s">
        <v>65</v>
      </c>
      <c r="B53" s="2">
        <v>45656</v>
      </c>
      <c r="C53" t="s">
        <v>1265</v>
      </c>
      <c r="D53" t="s">
        <v>2405</v>
      </c>
      <c r="E53">
        <v>1</v>
      </c>
      <c r="F53">
        <v>388.33</v>
      </c>
      <c r="G53" t="s">
        <v>2458</v>
      </c>
      <c r="H53" t="s">
        <v>3069</v>
      </c>
      <c r="I53" t="s">
        <v>3072</v>
      </c>
      <c r="J53" t="s">
        <v>3126</v>
      </c>
      <c r="K53">
        <v>2</v>
      </c>
      <c r="L53" t="s">
        <v>4275</v>
      </c>
      <c r="M53" t="s">
        <v>4281</v>
      </c>
      <c r="N53">
        <v>388.33</v>
      </c>
    </row>
    <row r="54" spans="1:14">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c r="A55" t="s">
        <v>67</v>
      </c>
      <c r="B55" s="2">
        <v>45430</v>
      </c>
      <c r="C55" t="s">
        <v>1267</v>
      </c>
      <c r="D55" t="s">
        <v>2404</v>
      </c>
      <c r="E55">
        <v>4</v>
      </c>
      <c r="F55">
        <v>488.78</v>
      </c>
      <c r="G55" t="s">
        <v>2412</v>
      </c>
      <c r="H55" t="s">
        <v>3066</v>
      </c>
      <c r="I55" t="s">
        <v>3072</v>
      </c>
      <c r="J55" t="s">
        <v>3128</v>
      </c>
      <c r="K55">
        <v>5</v>
      </c>
      <c r="L55" t="s">
        <v>4276</v>
      </c>
      <c r="M55" t="s">
        <v>4282</v>
      </c>
      <c r="N55">
        <v>1955.12</v>
      </c>
    </row>
    <row r="56" spans="1:14">
      <c r="A56" t="s">
        <v>68</v>
      </c>
      <c r="B56" s="2">
        <v>45743</v>
      </c>
      <c r="C56" t="s">
        <v>1268</v>
      </c>
      <c r="D56" t="s">
        <v>2406</v>
      </c>
      <c r="E56">
        <v>1</v>
      </c>
      <c r="F56">
        <v>280.25</v>
      </c>
      <c r="G56" t="s">
        <v>2460</v>
      </c>
      <c r="H56" t="s">
        <v>3066</v>
      </c>
      <c r="I56" t="s">
        <v>3074</v>
      </c>
      <c r="J56" t="s">
        <v>3129</v>
      </c>
      <c r="K56">
        <v>5</v>
      </c>
      <c r="L56" t="s">
        <v>4277</v>
      </c>
      <c r="M56" t="s">
        <v>4280</v>
      </c>
      <c r="N56">
        <v>280.25</v>
      </c>
    </row>
    <row r="57" spans="1:14">
      <c r="A57" t="s">
        <v>69</v>
      </c>
      <c r="B57" s="2">
        <v>45832</v>
      </c>
      <c r="C57" t="s">
        <v>1269</v>
      </c>
      <c r="D57" t="s">
        <v>2407</v>
      </c>
      <c r="E57">
        <v>3</v>
      </c>
      <c r="F57">
        <v>344.4</v>
      </c>
      <c r="G57" t="s">
        <v>2461</v>
      </c>
      <c r="H57" t="s">
        <v>3066</v>
      </c>
      <c r="I57" t="s">
        <v>3071</v>
      </c>
      <c r="J57" t="s">
        <v>3130</v>
      </c>
      <c r="K57">
        <v>3</v>
      </c>
      <c r="L57" t="s">
        <v>4283</v>
      </c>
      <c r="M57" t="s">
        <v>4281</v>
      </c>
      <c r="N57">
        <v>1033.2</v>
      </c>
    </row>
    <row r="58" spans="1:14">
      <c r="A58" t="s">
        <v>70</v>
      </c>
      <c r="B58" s="2">
        <v>45067</v>
      </c>
      <c r="C58" t="s">
        <v>1270</v>
      </c>
      <c r="D58" t="s">
        <v>2405</v>
      </c>
      <c r="E58">
        <v>3</v>
      </c>
      <c r="F58">
        <v>479.21</v>
      </c>
      <c r="G58" t="s">
        <v>2462</v>
      </c>
      <c r="H58" t="s">
        <v>3069</v>
      </c>
      <c r="I58" t="s">
        <v>3071</v>
      </c>
      <c r="J58" t="s">
        <v>3131</v>
      </c>
      <c r="K58">
        <v>5</v>
      </c>
      <c r="L58" t="s">
        <v>4277</v>
      </c>
      <c r="M58" t="s">
        <v>4279</v>
      </c>
      <c r="N58">
        <v>1437.63</v>
      </c>
    </row>
    <row r="59" spans="1:14">
      <c r="A59" t="s">
        <v>71</v>
      </c>
      <c r="B59" s="2">
        <v>44948</v>
      </c>
      <c r="C59" t="s">
        <v>1271</v>
      </c>
      <c r="D59" t="s">
        <v>2407</v>
      </c>
      <c r="E59">
        <v>5</v>
      </c>
      <c r="F59">
        <v>314.27</v>
      </c>
      <c r="G59" t="s">
        <v>2463</v>
      </c>
      <c r="H59" t="s">
        <v>3069</v>
      </c>
      <c r="I59" t="s">
        <v>3072</v>
      </c>
      <c r="J59" t="s">
        <v>3132</v>
      </c>
      <c r="K59">
        <v>6</v>
      </c>
      <c r="L59" t="s">
        <v>4275</v>
      </c>
      <c r="M59" t="s">
        <v>4278</v>
      </c>
      <c r="N59">
        <v>1571.35</v>
      </c>
    </row>
    <row r="60" spans="1:14">
      <c r="A60" t="s">
        <v>72</v>
      </c>
      <c r="B60" s="2">
        <v>44941</v>
      </c>
      <c r="C60" t="s">
        <v>1272</v>
      </c>
      <c r="D60" t="s">
        <v>2404</v>
      </c>
      <c r="E60">
        <v>4</v>
      </c>
      <c r="F60">
        <v>474.69</v>
      </c>
      <c r="G60" t="s">
        <v>2464</v>
      </c>
      <c r="H60" t="s">
        <v>3068</v>
      </c>
      <c r="I60" t="s">
        <v>3071</v>
      </c>
      <c r="J60" t="s">
        <v>3133</v>
      </c>
      <c r="K60">
        <v>6</v>
      </c>
      <c r="L60" t="s">
        <v>4275</v>
      </c>
      <c r="M60" t="s">
        <v>4282</v>
      </c>
      <c r="N60">
        <v>1898.76</v>
      </c>
    </row>
    <row r="61" spans="1:14">
      <c r="A61" t="s">
        <v>73</v>
      </c>
      <c r="B61" s="2">
        <v>45546</v>
      </c>
      <c r="C61" t="s">
        <v>1273</v>
      </c>
      <c r="D61" t="s">
        <v>2406</v>
      </c>
      <c r="E61">
        <v>4</v>
      </c>
      <c r="F61">
        <v>593.27</v>
      </c>
      <c r="G61" t="s">
        <v>2465</v>
      </c>
      <c r="H61" t="s">
        <v>3066</v>
      </c>
      <c r="I61" t="s">
        <v>3070</v>
      </c>
      <c r="J61" t="s">
        <v>3134</v>
      </c>
      <c r="K61">
        <v>5</v>
      </c>
      <c r="L61" t="s">
        <v>4283</v>
      </c>
      <c r="M61" t="s">
        <v>4281</v>
      </c>
      <c r="N61">
        <v>2373.08</v>
      </c>
    </row>
    <row r="62" spans="1:14">
      <c r="A62" t="s">
        <v>74</v>
      </c>
      <c r="B62" s="2">
        <v>45525</v>
      </c>
      <c r="C62" t="s">
        <v>1274</v>
      </c>
      <c r="D62" t="s">
        <v>2409</v>
      </c>
      <c r="E62">
        <v>1</v>
      </c>
      <c r="F62">
        <v>417.1</v>
      </c>
      <c r="G62" t="s">
        <v>2466</v>
      </c>
      <c r="H62" t="s">
        <v>3065</v>
      </c>
      <c r="I62" t="s">
        <v>3072</v>
      </c>
      <c r="J62" t="s">
        <v>3135</v>
      </c>
      <c r="K62">
        <v>3</v>
      </c>
      <c r="L62" t="s">
        <v>4276</v>
      </c>
      <c r="M62" t="s">
        <v>4279</v>
      </c>
      <c r="N62">
        <v>417.1</v>
      </c>
    </row>
    <row r="63" spans="1:14">
      <c r="A63" t="s">
        <v>75</v>
      </c>
      <c r="B63" s="2">
        <v>45375</v>
      </c>
      <c r="C63" t="s">
        <v>1275</v>
      </c>
      <c r="D63" t="s">
        <v>2409</v>
      </c>
      <c r="E63">
        <v>4</v>
      </c>
      <c r="F63">
        <v>122.2</v>
      </c>
      <c r="G63" t="s">
        <v>2467</v>
      </c>
      <c r="H63" t="s">
        <v>3069</v>
      </c>
      <c r="I63" t="s">
        <v>3073</v>
      </c>
      <c r="J63" t="s">
        <v>3136</v>
      </c>
      <c r="K63">
        <v>7</v>
      </c>
      <c r="L63" t="s">
        <v>4276</v>
      </c>
      <c r="M63" t="s">
        <v>4281</v>
      </c>
      <c r="N63">
        <v>488.8</v>
      </c>
    </row>
    <row r="64" spans="1:14">
      <c r="A64" t="s">
        <v>76</v>
      </c>
      <c r="B64" s="2">
        <v>45160</v>
      </c>
      <c r="C64" t="s">
        <v>1276</v>
      </c>
      <c r="D64" t="s">
        <v>2409</v>
      </c>
      <c r="E64">
        <v>2</v>
      </c>
      <c r="F64">
        <v>43.15</v>
      </c>
      <c r="G64" t="s">
        <v>2468</v>
      </c>
      <c r="H64" t="s">
        <v>3065</v>
      </c>
      <c r="I64" t="s">
        <v>3074</v>
      </c>
      <c r="J64" t="s">
        <v>3137</v>
      </c>
      <c r="K64">
        <v>3</v>
      </c>
      <c r="L64" t="s">
        <v>4277</v>
      </c>
      <c r="M64" t="s">
        <v>4280</v>
      </c>
      <c r="N64">
        <v>86.3</v>
      </c>
    </row>
    <row r="65" spans="1:14">
      <c r="A65" t="s">
        <v>77</v>
      </c>
      <c r="B65" s="2">
        <v>45690</v>
      </c>
      <c r="C65" t="s">
        <v>1277</v>
      </c>
      <c r="D65" t="s">
        <v>2406</v>
      </c>
      <c r="E65">
        <v>1</v>
      </c>
      <c r="F65">
        <v>564.86</v>
      </c>
      <c r="G65" t="s">
        <v>2469</v>
      </c>
      <c r="H65" t="s">
        <v>3065</v>
      </c>
      <c r="I65" t="s">
        <v>3070</v>
      </c>
      <c r="J65" t="s">
        <v>3138</v>
      </c>
      <c r="K65">
        <v>6</v>
      </c>
      <c r="L65" t="s">
        <v>4277</v>
      </c>
      <c r="M65" t="s">
        <v>4279</v>
      </c>
      <c r="N65">
        <v>564.86</v>
      </c>
    </row>
    <row r="66" spans="1:14">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c r="A67" t="s">
        <v>79</v>
      </c>
      <c r="B67" s="2">
        <v>45290</v>
      </c>
      <c r="C67" t="s">
        <v>1279</v>
      </c>
      <c r="D67" t="s">
        <v>2403</v>
      </c>
      <c r="E67">
        <v>5</v>
      </c>
      <c r="F67">
        <v>81.7</v>
      </c>
      <c r="G67" t="s">
        <v>2471</v>
      </c>
      <c r="H67" t="s">
        <v>3067</v>
      </c>
      <c r="I67" t="s">
        <v>3073</v>
      </c>
      <c r="J67" t="s">
        <v>3140</v>
      </c>
      <c r="K67">
        <v>6</v>
      </c>
      <c r="L67" t="s">
        <v>4283</v>
      </c>
      <c r="M67" t="s">
        <v>4278</v>
      </c>
      <c r="N67">
        <v>408.5</v>
      </c>
    </row>
    <row r="68" spans="1:14">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c r="A69" t="s">
        <v>81</v>
      </c>
      <c r="B69" s="2">
        <v>45635</v>
      </c>
      <c r="C69" t="s">
        <v>1281</v>
      </c>
      <c r="D69" t="s">
        <v>2407</v>
      </c>
      <c r="E69">
        <v>4</v>
      </c>
      <c r="F69">
        <v>12.1</v>
      </c>
      <c r="G69" t="s">
        <v>2473</v>
      </c>
      <c r="H69" t="s">
        <v>3065</v>
      </c>
      <c r="I69" t="s">
        <v>3071</v>
      </c>
      <c r="J69" t="s">
        <v>3142</v>
      </c>
      <c r="K69">
        <v>8</v>
      </c>
      <c r="L69" t="s">
        <v>4283</v>
      </c>
      <c r="M69" t="s">
        <v>4282</v>
      </c>
      <c r="N69">
        <v>48.4</v>
      </c>
    </row>
    <row r="70" spans="1:14">
      <c r="A70" t="s">
        <v>82</v>
      </c>
      <c r="B70" s="2">
        <v>45271</v>
      </c>
      <c r="C70" t="s">
        <v>1282</v>
      </c>
      <c r="D70" t="s">
        <v>2406</v>
      </c>
      <c r="E70">
        <v>3</v>
      </c>
      <c r="F70">
        <v>490.92</v>
      </c>
      <c r="G70" t="s">
        <v>2435</v>
      </c>
      <c r="H70" t="s">
        <v>3067</v>
      </c>
      <c r="I70" t="s">
        <v>3074</v>
      </c>
      <c r="J70" t="s">
        <v>3143</v>
      </c>
      <c r="K70">
        <v>5</v>
      </c>
      <c r="L70" t="s">
        <v>4276</v>
      </c>
      <c r="M70" t="s">
        <v>4280</v>
      </c>
      <c r="N70">
        <v>1472.76</v>
      </c>
    </row>
    <row r="71" spans="1:14">
      <c r="A71" t="s">
        <v>83</v>
      </c>
      <c r="B71" s="2">
        <v>45057</v>
      </c>
      <c r="C71" t="s">
        <v>1283</v>
      </c>
      <c r="D71" t="s">
        <v>2403</v>
      </c>
      <c r="E71">
        <v>3</v>
      </c>
      <c r="F71">
        <v>478.65</v>
      </c>
      <c r="G71" t="s">
        <v>2474</v>
      </c>
      <c r="H71" t="s">
        <v>3066</v>
      </c>
      <c r="I71" t="s">
        <v>3070</v>
      </c>
      <c r="J71" t="s">
        <v>3144</v>
      </c>
      <c r="K71">
        <v>4</v>
      </c>
      <c r="L71" t="s">
        <v>4283</v>
      </c>
      <c r="M71" t="s">
        <v>4279</v>
      </c>
      <c r="N71">
        <v>1435.95</v>
      </c>
    </row>
    <row r="72" spans="1:14">
      <c r="A72" t="s">
        <v>84</v>
      </c>
      <c r="B72" s="2">
        <v>45072</v>
      </c>
      <c r="C72" t="s">
        <v>1284</v>
      </c>
      <c r="D72" t="s">
        <v>2409</v>
      </c>
      <c r="E72">
        <v>1</v>
      </c>
      <c r="F72">
        <v>629.21</v>
      </c>
      <c r="G72" t="s">
        <v>2475</v>
      </c>
      <c r="H72" t="s">
        <v>3068</v>
      </c>
      <c r="I72" t="s">
        <v>3074</v>
      </c>
      <c r="J72" t="s">
        <v>3145</v>
      </c>
      <c r="K72">
        <v>2</v>
      </c>
      <c r="L72" t="s">
        <v>4276</v>
      </c>
      <c r="M72" t="s">
        <v>4278</v>
      </c>
      <c r="N72">
        <v>629.21</v>
      </c>
    </row>
    <row r="73" spans="1:14">
      <c r="A73" t="s">
        <v>85</v>
      </c>
      <c r="B73" s="2">
        <v>45818</v>
      </c>
      <c r="C73" t="s">
        <v>1285</v>
      </c>
      <c r="D73" t="s">
        <v>2403</v>
      </c>
      <c r="E73">
        <v>3</v>
      </c>
      <c r="F73">
        <v>434.45</v>
      </c>
      <c r="G73" t="s">
        <v>2476</v>
      </c>
      <c r="H73" t="s">
        <v>3067</v>
      </c>
      <c r="I73" t="s">
        <v>3074</v>
      </c>
      <c r="J73" t="s">
        <v>3146</v>
      </c>
      <c r="K73">
        <v>4</v>
      </c>
      <c r="L73" t="s">
        <v>4283</v>
      </c>
      <c r="M73" t="s">
        <v>4279</v>
      </c>
      <c r="N73">
        <v>1303.3499999999999</v>
      </c>
    </row>
    <row r="74" spans="1:14">
      <c r="A74" t="s">
        <v>86</v>
      </c>
      <c r="B74" s="2">
        <v>45648</v>
      </c>
      <c r="C74" t="s">
        <v>1286</v>
      </c>
      <c r="D74" t="s">
        <v>2405</v>
      </c>
      <c r="E74">
        <v>4</v>
      </c>
      <c r="F74">
        <v>589.44000000000005</v>
      </c>
      <c r="G74" t="s">
        <v>2425</v>
      </c>
      <c r="H74" t="s">
        <v>3068</v>
      </c>
      <c r="I74" t="s">
        <v>3072</v>
      </c>
      <c r="J74" t="s">
        <v>3147</v>
      </c>
      <c r="K74">
        <v>5</v>
      </c>
      <c r="L74" t="s">
        <v>4283</v>
      </c>
      <c r="M74" t="s">
        <v>4281</v>
      </c>
      <c r="N74">
        <v>2357.7600000000002</v>
      </c>
    </row>
    <row r="75" spans="1:14">
      <c r="A75" t="s">
        <v>87</v>
      </c>
      <c r="B75" s="2">
        <v>45049</v>
      </c>
      <c r="C75" t="s">
        <v>1287</v>
      </c>
      <c r="D75" t="s">
        <v>2403</v>
      </c>
      <c r="E75">
        <v>4</v>
      </c>
      <c r="F75">
        <v>433.45</v>
      </c>
      <c r="G75" t="s">
        <v>2477</v>
      </c>
      <c r="H75" t="s">
        <v>3068</v>
      </c>
      <c r="I75" t="s">
        <v>3071</v>
      </c>
      <c r="J75" t="s">
        <v>3148</v>
      </c>
      <c r="K75">
        <v>4</v>
      </c>
      <c r="L75" t="s">
        <v>4283</v>
      </c>
      <c r="M75" t="s">
        <v>4281</v>
      </c>
      <c r="N75">
        <v>1733.8</v>
      </c>
    </row>
    <row r="76" spans="1:14">
      <c r="A76" t="s">
        <v>88</v>
      </c>
      <c r="B76" s="2">
        <v>45101</v>
      </c>
      <c r="C76" t="s">
        <v>1288</v>
      </c>
      <c r="D76" t="s">
        <v>2404</v>
      </c>
      <c r="E76">
        <v>5</v>
      </c>
      <c r="F76">
        <v>90.87</v>
      </c>
      <c r="G76" t="s">
        <v>2478</v>
      </c>
      <c r="H76" t="s">
        <v>3069</v>
      </c>
      <c r="I76" t="s">
        <v>3074</v>
      </c>
      <c r="J76" t="s">
        <v>3149</v>
      </c>
      <c r="K76">
        <v>5</v>
      </c>
      <c r="L76" t="s">
        <v>4283</v>
      </c>
      <c r="M76" t="s">
        <v>4278</v>
      </c>
      <c r="N76">
        <v>454.35</v>
      </c>
    </row>
    <row r="77" spans="1:14">
      <c r="A77" t="s">
        <v>89</v>
      </c>
      <c r="B77" s="2">
        <v>45195</v>
      </c>
      <c r="C77" t="s">
        <v>1289</v>
      </c>
      <c r="D77" t="s">
        <v>2405</v>
      </c>
      <c r="E77">
        <v>3</v>
      </c>
      <c r="F77">
        <v>398.17</v>
      </c>
      <c r="G77" t="s">
        <v>2479</v>
      </c>
      <c r="H77" t="s">
        <v>3065</v>
      </c>
      <c r="I77" t="s">
        <v>3073</v>
      </c>
      <c r="J77" t="s">
        <v>3150</v>
      </c>
      <c r="K77">
        <v>5</v>
      </c>
      <c r="L77" t="s">
        <v>4275</v>
      </c>
      <c r="M77" t="s">
        <v>4280</v>
      </c>
      <c r="N77">
        <v>1194.51</v>
      </c>
    </row>
    <row r="78" spans="1:14">
      <c r="A78" t="s">
        <v>90</v>
      </c>
      <c r="B78" s="2">
        <v>45382</v>
      </c>
      <c r="C78" t="s">
        <v>1290</v>
      </c>
      <c r="D78" t="s">
        <v>2408</v>
      </c>
      <c r="E78">
        <v>4</v>
      </c>
      <c r="F78">
        <v>382.88</v>
      </c>
      <c r="G78" t="s">
        <v>2480</v>
      </c>
      <c r="H78" t="s">
        <v>3069</v>
      </c>
      <c r="I78" t="s">
        <v>3071</v>
      </c>
      <c r="J78" t="s">
        <v>3151</v>
      </c>
      <c r="K78">
        <v>6</v>
      </c>
      <c r="L78" t="s">
        <v>4277</v>
      </c>
      <c r="M78" t="s">
        <v>4280</v>
      </c>
      <c r="N78">
        <v>1531.52</v>
      </c>
    </row>
    <row r="79" spans="1:14">
      <c r="A79" t="s">
        <v>91</v>
      </c>
      <c r="B79" s="2">
        <v>45436</v>
      </c>
      <c r="C79" t="s">
        <v>1291</v>
      </c>
      <c r="D79" t="s">
        <v>2404</v>
      </c>
      <c r="E79">
        <v>1</v>
      </c>
      <c r="F79">
        <v>583.17999999999995</v>
      </c>
      <c r="G79" t="s">
        <v>2481</v>
      </c>
      <c r="H79" t="s">
        <v>3067</v>
      </c>
      <c r="I79" t="s">
        <v>3072</v>
      </c>
      <c r="J79" t="s">
        <v>3152</v>
      </c>
      <c r="K79">
        <v>5</v>
      </c>
      <c r="L79" t="s">
        <v>4283</v>
      </c>
      <c r="M79" t="s">
        <v>4282</v>
      </c>
      <c r="N79">
        <v>583.17999999999995</v>
      </c>
    </row>
    <row r="80" spans="1:14">
      <c r="A80" t="s">
        <v>92</v>
      </c>
      <c r="B80" s="2">
        <v>45510</v>
      </c>
      <c r="C80" t="s">
        <v>1292</v>
      </c>
      <c r="D80" t="s">
        <v>2407</v>
      </c>
      <c r="E80">
        <v>4</v>
      </c>
      <c r="F80">
        <v>175.36</v>
      </c>
      <c r="G80" t="s">
        <v>2482</v>
      </c>
      <c r="H80" t="s">
        <v>3065</v>
      </c>
      <c r="I80" t="s">
        <v>3073</v>
      </c>
      <c r="J80" t="s">
        <v>3153</v>
      </c>
      <c r="K80">
        <v>4</v>
      </c>
      <c r="L80" t="s">
        <v>4276</v>
      </c>
      <c r="M80" t="s">
        <v>4278</v>
      </c>
      <c r="N80">
        <v>701.44</v>
      </c>
    </row>
    <row r="81" spans="1:14">
      <c r="A81" t="s">
        <v>93</v>
      </c>
      <c r="B81" s="2">
        <v>45726</v>
      </c>
      <c r="C81" t="s">
        <v>1293</v>
      </c>
      <c r="D81" t="s">
        <v>2405</v>
      </c>
      <c r="E81">
        <v>2</v>
      </c>
      <c r="F81">
        <v>311.91000000000003</v>
      </c>
      <c r="G81" t="s">
        <v>2483</v>
      </c>
      <c r="H81" t="s">
        <v>3066</v>
      </c>
      <c r="I81" t="s">
        <v>3070</v>
      </c>
      <c r="J81" t="s">
        <v>3154</v>
      </c>
      <c r="K81">
        <v>2</v>
      </c>
      <c r="L81" t="s">
        <v>4283</v>
      </c>
      <c r="M81" t="s">
        <v>4281</v>
      </c>
      <c r="N81">
        <v>623.82000000000005</v>
      </c>
    </row>
    <row r="82" spans="1:14">
      <c r="A82" t="s">
        <v>94</v>
      </c>
      <c r="B82" s="2">
        <v>45104</v>
      </c>
      <c r="C82" t="s">
        <v>1294</v>
      </c>
      <c r="D82" t="s">
        <v>2404</v>
      </c>
      <c r="E82">
        <v>3</v>
      </c>
      <c r="F82">
        <v>589.55999999999995</v>
      </c>
      <c r="G82" t="s">
        <v>2484</v>
      </c>
      <c r="H82" t="s">
        <v>3066</v>
      </c>
      <c r="I82" t="s">
        <v>3072</v>
      </c>
      <c r="J82" t="s">
        <v>3155</v>
      </c>
      <c r="K82">
        <v>6</v>
      </c>
      <c r="L82" t="s">
        <v>4283</v>
      </c>
      <c r="M82" t="s">
        <v>4281</v>
      </c>
      <c r="N82">
        <v>1768.68</v>
      </c>
    </row>
    <row r="83" spans="1:14">
      <c r="A83" t="s">
        <v>95</v>
      </c>
      <c r="B83" s="2">
        <v>45085</v>
      </c>
      <c r="C83" t="s">
        <v>1295</v>
      </c>
      <c r="D83" t="s">
        <v>2403</v>
      </c>
      <c r="E83">
        <v>2</v>
      </c>
      <c r="F83">
        <v>394.3</v>
      </c>
      <c r="G83" t="s">
        <v>2485</v>
      </c>
      <c r="H83" t="s">
        <v>3069</v>
      </c>
      <c r="I83" t="s">
        <v>3070</v>
      </c>
      <c r="J83" t="s">
        <v>3156</v>
      </c>
      <c r="K83">
        <v>6</v>
      </c>
      <c r="L83" t="s">
        <v>4276</v>
      </c>
      <c r="M83" t="s">
        <v>4280</v>
      </c>
      <c r="N83">
        <v>788.6</v>
      </c>
    </row>
    <row r="84" spans="1:14">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c r="A85" t="s">
        <v>97</v>
      </c>
      <c r="B85" s="2">
        <v>45160</v>
      </c>
      <c r="C85" t="s">
        <v>1297</v>
      </c>
      <c r="D85" t="s">
        <v>2408</v>
      </c>
      <c r="E85">
        <v>4</v>
      </c>
      <c r="F85">
        <v>540.41</v>
      </c>
      <c r="G85" t="s">
        <v>2487</v>
      </c>
      <c r="H85" t="s">
        <v>3067</v>
      </c>
      <c r="I85" t="s">
        <v>3071</v>
      </c>
      <c r="J85" t="s">
        <v>3158</v>
      </c>
      <c r="K85">
        <v>6</v>
      </c>
      <c r="L85" t="s">
        <v>4283</v>
      </c>
      <c r="M85" t="s">
        <v>4279</v>
      </c>
      <c r="N85">
        <v>2161.64</v>
      </c>
    </row>
    <row r="86" spans="1:14">
      <c r="A86" t="s">
        <v>98</v>
      </c>
      <c r="B86" s="2">
        <v>45166</v>
      </c>
      <c r="C86" t="s">
        <v>1298</v>
      </c>
      <c r="D86" t="s">
        <v>2403</v>
      </c>
      <c r="E86">
        <v>2</v>
      </c>
      <c r="F86">
        <v>165.49</v>
      </c>
      <c r="G86" t="s">
        <v>2488</v>
      </c>
      <c r="H86" t="s">
        <v>3066</v>
      </c>
      <c r="I86" t="s">
        <v>3070</v>
      </c>
      <c r="J86" t="s">
        <v>3159</v>
      </c>
      <c r="K86">
        <v>4</v>
      </c>
      <c r="L86" t="s">
        <v>4277</v>
      </c>
      <c r="M86" t="s">
        <v>4278</v>
      </c>
      <c r="N86">
        <v>330.98</v>
      </c>
    </row>
    <row r="87" spans="1:14">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c r="A88" t="s">
        <v>100</v>
      </c>
      <c r="B88" s="2">
        <v>45462</v>
      </c>
      <c r="C88" t="s">
        <v>1300</v>
      </c>
      <c r="D88" t="s">
        <v>2407</v>
      </c>
      <c r="E88">
        <v>5</v>
      </c>
      <c r="F88">
        <v>643.03</v>
      </c>
      <c r="G88" t="s">
        <v>2490</v>
      </c>
      <c r="H88" t="s">
        <v>3066</v>
      </c>
      <c r="I88" t="s">
        <v>3071</v>
      </c>
      <c r="J88" t="s">
        <v>3161</v>
      </c>
      <c r="K88">
        <v>5</v>
      </c>
      <c r="L88" t="s">
        <v>4276</v>
      </c>
      <c r="M88" t="s">
        <v>4279</v>
      </c>
      <c r="N88">
        <v>3215.15</v>
      </c>
    </row>
    <row r="89" spans="1:14">
      <c r="A89" t="s">
        <v>101</v>
      </c>
      <c r="B89" s="2">
        <v>45575</v>
      </c>
      <c r="C89" t="s">
        <v>1301</v>
      </c>
      <c r="D89" t="s">
        <v>2405</v>
      </c>
      <c r="E89">
        <v>3</v>
      </c>
      <c r="F89">
        <v>225.11</v>
      </c>
      <c r="G89" t="s">
        <v>2491</v>
      </c>
      <c r="H89" t="s">
        <v>3069</v>
      </c>
      <c r="I89" t="s">
        <v>3070</v>
      </c>
      <c r="J89" t="s">
        <v>3162</v>
      </c>
      <c r="K89">
        <v>4</v>
      </c>
      <c r="L89" t="s">
        <v>4275</v>
      </c>
      <c r="M89" t="s">
        <v>4281</v>
      </c>
      <c r="N89">
        <v>675.33</v>
      </c>
    </row>
    <row r="90" spans="1:14">
      <c r="A90" t="s">
        <v>102</v>
      </c>
      <c r="B90" s="2">
        <v>45813</v>
      </c>
      <c r="C90" t="s">
        <v>1302</v>
      </c>
      <c r="D90" t="s">
        <v>2409</v>
      </c>
      <c r="E90">
        <v>3</v>
      </c>
      <c r="F90">
        <v>114.81</v>
      </c>
      <c r="G90" t="s">
        <v>2492</v>
      </c>
      <c r="H90" t="s">
        <v>3068</v>
      </c>
      <c r="I90" t="s">
        <v>3071</v>
      </c>
      <c r="J90" t="s">
        <v>3163</v>
      </c>
      <c r="K90">
        <v>7</v>
      </c>
      <c r="L90" t="s">
        <v>4283</v>
      </c>
      <c r="M90" t="s">
        <v>4282</v>
      </c>
      <c r="N90">
        <v>344.43</v>
      </c>
    </row>
    <row r="91" spans="1:14">
      <c r="A91" t="s">
        <v>103</v>
      </c>
      <c r="B91" s="2">
        <v>45713</v>
      </c>
      <c r="C91" t="s">
        <v>1303</v>
      </c>
      <c r="D91" t="s">
        <v>2407</v>
      </c>
      <c r="E91">
        <v>5</v>
      </c>
      <c r="F91">
        <v>455.33</v>
      </c>
      <c r="G91" t="s">
        <v>2493</v>
      </c>
      <c r="H91" t="s">
        <v>3067</v>
      </c>
      <c r="I91" t="s">
        <v>3071</v>
      </c>
      <c r="J91" t="s">
        <v>3164</v>
      </c>
      <c r="K91">
        <v>8</v>
      </c>
      <c r="L91" t="s">
        <v>4276</v>
      </c>
      <c r="M91" t="s">
        <v>4282</v>
      </c>
      <c r="N91">
        <v>2276.65</v>
      </c>
    </row>
    <row r="92" spans="1:14">
      <c r="A92" t="s">
        <v>104</v>
      </c>
      <c r="B92" s="2">
        <v>45187</v>
      </c>
      <c r="C92" t="s">
        <v>1304</v>
      </c>
      <c r="D92" t="s">
        <v>2406</v>
      </c>
      <c r="E92">
        <v>4</v>
      </c>
      <c r="F92">
        <v>182.08</v>
      </c>
      <c r="G92" t="s">
        <v>2494</v>
      </c>
      <c r="H92" t="s">
        <v>3068</v>
      </c>
      <c r="I92" t="s">
        <v>3073</v>
      </c>
      <c r="J92" t="s">
        <v>3165</v>
      </c>
      <c r="K92">
        <v>4</v>
      </c>
      <c r="L92" t="s">
        <v>4275</v>
      </c>
      <c r="M92" t="s">
        <v>4280</v>
      </c>
      <c r="N92">
        <v>728.32</v>
      </c>
    </row>
    <row r="93" spans="1:14">
      <c r="A93" t="s">
        <v>105</v>
      </c>
      <c r="B93" s="2">
        <v>45000</v>
      </c>
      <c r="C93" t="s">
        <v>1305</v>
      </c>
      <c r="D93" t="s">
        <v>2408</v>
      </c>
      <c r="E93">
        <v>5</v>
      </c>
      <c r="F93">
        <v>492.75</v>
      </c>
      <c r="G93" t="s">
        <v>2495</v>
      </c>
      <c r="H93" t="s">
        <v>3069</v>
      </c>
      <c r="I93" t="s">
        <v>3070</v>
      </c>
      <c r="J93" t="s">
        <v>3166</v>
      </c>
      <c r="K93">
        <v>6</v>
      </c>
      <c r="L93" t="s">
        <v>4277</v>
      </c>
      <c r="M93" t="s">
        <v>4279</v>
      </c>
      <c r="N93">
        <v>2463.75</v>
      </c>
    </row>
    <row r="94" spans="1:14">
      <c r="A94" t="s">
        <v>106</v>
      </c>
      <c r="B94" s="2">
        <v>45453</v>
      </c>
      <c r="C94" t="s">
        <v>1306</v>
      </c>
      <c r="D94" t="s">
        <v>2407</v>
      </c>
      <c r="E94">
        <v>4</v>
      </c>
      <c r="F94">
        <v>48.61</v>
      </c>
      <c r="G94" t="s">
        <v>2496</v>
      </c>
      <c r="H94" t="s">
        <v>3066</v>
      </c>
      <c r="I94" t="s">
        <v>3070</v>
      </c>
      <c r="J94" t="s">
        <v>3167</v>
      </c>
      <c r="K94">
        <v>7</v>
      </c>
      <c r="L94" t="s">
        <v>4276</v>
      </c>
      <c r="M94" t="s">
        <v>4281</v>
      </c>
      <c r="N94">
        <v>194.44</v>
      </c>
    </row>
    <row r="95" spans="1:14">
      <c r="A95" t="s">
        <v>107</v>
      </c>
      <c r="B95" s="2">
        <v>44940</v>
      </c>
      <c r="C95" t="s">
        <v>1307</v>
      </c>
      <c r="D95" t="s">
        <v>2409</v>
      </c>
      <c r="E95">
        <v>4</v>
      </c>
      <c r="F95">
        <v>431.01</v>
      </c>
      <c r="G95" t="s">
        <v>2497</v>
      </c>
      <c r="H95" t="s">
        <v>3067</v>
      </c>
      <c r="I95" t="s">
        <v>3072</v>
      </c>
      <c r="J95" t="s">
        <v>3168</v>
      </c>
      <c r="K95">
        <v>7</v>
      </c>
      <c r="L95" t="s">
        <v>4283</v>
      </c>
      <c r="M95" t="s">
        <v>4279</v>
      </c>
      <c r="N95">
        <v>1724.04</v>
      </c>
    </row>
    <row r="96" spans="1:14">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c r="A97" t="s">
        <v>109</v>
      </c>
      <c r="B97" s="2">
        <v>45009</v>
      </c>
      <c r="C97" t="s">
        <v>1309</v>
      </c>
      <c r="D97" t="s">
        <v>2407</v>
      </c>
      <c r="E97">
        <v>4</v>
      </c>
      <c r="F97">
        <v>117.51</v>
      </c>
      <c r="G97" t="s">
        <v>2499</v>
      </c>
      <c r="H97" t="s">
        <v>3065</v>
      </c>
      <c r="I97" t="s">
        <v>3072</v>
      </c>
      <c r="J97" t="s">
        <v>3170</v>
      </c>
      <c r="K97">
        <v>7</v>
      </c>
      <c r="L97" t="s">
        <v>4283</v>
      </c>
      <c r="M97" t="s">
        <v>4279</v>
      </c>
      <c r="N97">
        <v>470.04</v>
      </c>
    </row>
    <row r="98" spans="1:14">
      <c r="A98" t="s">
        <v>110</v>
      </c>
      <c r="B98" s="2">
        <v>45444</v>
      </c>
      <c r="C98" t="s">
        <v>1310</v>
      </c>
      <c r="D98" t="s">
        <v>2404</v>
      </c>
      <c r="E98">
        <v>2</v>
      </c>
      <c r="F98">
        <v>232.83</v>
      </c>
      <c r="G98" t="s">
        <v>2483</v>
      </c>
      <c r="H98" t="s">
        <v>3068</v>
      </c>
      <c r="I98" t="s">
        <v>3073</v>
      </c>
      <c r="J98" t="s">
        <v>3171</v>
      </c>
      <c r="K98">
        <v>7</v>
      </c>
      <c r="L98" t="s">
        <v>4283</v>
      </c>
      <c r="M98" t="s">
        <v>4278</v>
      </c>
      <c r="N98">
        <v>465.66</v>
      </c>
    </row>
    <row r="99" spans="1:14">
      <c r="A99" t="s">
        <v>111</v>
      </c>
      <c r="B99" s="2">
        <v>45678</v>
      </c>
      <c r="C99" t="s">
        <v>1311</v>
      </c>
      <c r="D99" t="s">
        <v>2405</v>
      </c>
      <c r="E99">
        <v>5</v>
      </c>
      <c r="F99">
        <v>619.52</v>
      </c>
      <c r="G99" t="s">
        <v>2500</v>
      </c>
      <c r="H99" t="s">
        <v>3065</v>
      </c>
      <c r="I99" t="s">
        <v>3074</v>
      </c>
      <c r="J99" t="s">
        <v>3172</v>
      </c>
      <c r="K99">
        <v>9</v>
      </c>
      <c r="L99" t="s">
        <v>4283</v>
      </c>
      <c r="M99" t="s">
        <v>4280</v>
      </c>
      <c r="N99">
        <v>3097.6</v>
      </c>
    </row>
    <row r="100" spans="1:14">
      <c r="A100" t="s">
        <v>112</v>
      </c>
      <c r="B100" s="2">
        <v>44940</v>
      </c>
      <c r="C100" t="s">
        <v>1312</v>
      </c>
      <c r="D100" t="s">
        <v>2407</v>
      </c>
      <c r="E100">
        <v>2</v>
      </c>
      <c r="F100">
        <v>228.54</v>
      </c>
      <c r="G100" t="s">
        <v>2501</v>
      </c>
      <c r="H100" t="s">
        <v>3065</v>
      </c>
      <c r="I100" t="s">
        <v>3074</v>
      </c>
      <c r="J100" t="s">
        <v>3173</v>
      </c>
      <c r="K100">
        <v>3</v>
      </c>
      <c r="L100" t="s">
        <v>4283</v>
      </c>
      <c r="M100" t="s">
        <v>4280</v>
      </c>
      <c r="N100">
        <v>457.08</v>
      </c>
    </row>
    <row r="101" spans="1:14">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c r="A102" t="s">
        <v>114</v>
      </c>
      <c r="B102" s="2">
        <v>44974</v>
      </c>
      <c r="C102" t="s">
        <v>1314</v>
      </c>
      <c r="D102" t="s">
        <v>2404</v>
      </c>
      <c r="E102">
        <v>3</v>
      </c>
      <c r="F102">
        <v>664.79</v>
      </c>
      <c r="G102" t="s">
        <v>2503</v>
      </c>
      <c r="H102" t="s">
        <v>3066</v>
      </c>
      <c r="I102" t="s">
        <v>3073</v>
      </c>
      <c r="J102" t="s">
        <v>3175</v>
      </c>
      <c r="K102">
        <v>6</v>
      </c>
      <c r="L102" t="s">
        <v>4283</v>
      </c>
      <c r="M102" t="s">
        <v>4281</v>
      </c>
      <c r="N102">
        <v>1994.37</v>
      </c>
    </row>
    <row r="103" spans="1:14">
      <c r="A103" t="s">
        <v>115</v>
      </c>
      <c r="B103" s="2">
        <v>45255</v>
      </c>
      <c r="C103" t="s">
        <v>1315</v>
      </c>
      <c r="D103" t="s">
        <v>2407</v>
      </c>
      <c r="E103">
        <v>1</v>
      </c>
      <c r="F103">
        <v>381.02</v>
      </c>
      <c r="G103" t="s">
        <v>2504</v>
      </c>
      <c r="H103" t="s">
        <v>3069</v>
      </c>
      <c r="I103" t="s">
        <v>3070</v>
      </c>
      <c r="J103" t="s">
        <v>3176</v>
      </c>
      <c r="K103">
        <v>6</v>
      </c>
      <c r="L103" t="s">
        <v>4283</v>
      </c>
      <c r="M103" t="s">
        <v>4282</v>
      </c>
      <c r="N103">
        <v>381.02</v>
      </c>
    </row>
    <row r="104" spans="1:14">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c r="A107" t="s">
        <v>119</v>
      </c>
      <c r="B107" s="2">
        <v>45589</v>
      </c>
      <c r="C107" t="s">
        <v>1319</v>
      </c>
      <c r="D107" t="s">
        <v>2407</v>
      </c>
      <c r="E107">
        <v>3</v>
      </c>
      <c r="F107">
        <v>185.4</v>
      </c>
      <c r="G107" t="s">
        <v>2508</v>
      </c>
      <c r="H107" t="s">
        <v>3068</v>
      </c>
      <c r="I107" t="s">
        <v>3071</v>
      </c>
      <c r="J107" t="s">
        <v>3180</v>
      </c>
      <c r="K107">
        <v>7</v>
      </c>
      <c r="L107" t="s">
        <v>4283</v>
      </c>
      <c r="M107" t="s">
        <v>4281</v>
      </c>
      <c r="N107">
        <v>556.20000000000005</v>
      </c>
    </row>
    <row r="108" spans="1:14">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c r="A124" t="s">
        <v>136</v>
      </c>
      <c r="B124" s="2">
        <v>45397</v>
      </c>
      <c r="C124" t="s">
        <v>1336</v>
      </c>
      <c r="D124" t="s">
        <v>2408</v>
      </c>
      <c r="E124">
        <v>2</v>
      </c>
      <c r="F124">
        <v>533.02</v>
      </c>
      <c r="G124" t="s">
        <v>2524</v>
      </c>
      <c r="H124" t="s">
        <v>3068</v>
      </c>
      <c r="I124" t="s">
        <v>3070</v>
      </c>
      <c r="J124" t="s">
        <v>3197</v>
      </c>
      <c r="K124">
        <v>2</v>
      </c>
      <c r="L124" t="s">
        <v>4283</v>
      </c>
      <c r="M124" t="s">
        <v>4281</v>
      </c>
      <c r="N124">
        <v>1066.04</v>
      </c>
    </row>
    <row r="125" spans="1:14">
      <c r="A125" t="s">
        <v>137</v>
      </c>
      <c r="B125" s="2">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c r="A126" t="s">
        <v>138</v>
      </c>
      <c r="B126" s="2">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c r="A129" t="s">
        <v>141</v>
      </c>
      <c r="B129" s="2">
        <v>45148</v>
      </c>
      <c r="C129" t="s">
        <v>1341</v>
      </c>
      <c r="D129" t="s">
        <v>2409</v>
      </c>
      <c r="E129">
        <v>3</v>
      </c>
      <c r="F129">
        <v>469.32</v>
      </c>
      <c r="G129" t="s">
        <v>2529</v>
      </c>
      <c r="H129" t="s">
        <v>3065</v>
      </c>
      <c r="I129" t="s">
        <v>3070</v>
      </c>
      <c r="J129" t="s">
        <v>3202</v>
      </c>
      <c r="K129">
        <v>3</v>
      </c>
      <c r="L129" t="s">
        <v>4283</v>
      </c>
      <c r="M129" t="s">
        <v>4282</v>
      </c>
      <c r="N129">
        <v>1407.96</v>
      </c>
    </row>
    <row r="130" spans="1:14">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c r="A133" t="s">
        <v>145</v>
      </c>
      <c r="B133" s="2">
        <v>44934</v>
      </c>
      <c r="C133" t="s">
        <v>1345</v>
      </c>
      <c r="D133" t="s">
        <v>2405</v>
      </c>
      <c r="E133">
        <v>1</v>
      </c>
      <c r="F133">
        <v>84.8</v>
      </c>
      <c r="G133" t="s">
        <v>2533</v>
      </c>
      <c r="H133" t="s">
        <v>3068</v>
      </c>
      <c r="I133" t="s">
        <v>3074</v>
      </c>
      <c r="J133" t="s">
        <v>3206</v>
      </c>
      <c r="K133">
        <v>5</v>
      </c>
      <c r="L133" t="s">
        <v>4283</v>
      </c>
      <c r="M133" t="s">
        <v>4278</v>
      </c>
      <c r="N133">
        <v>84.8</v>
      </c>
    </row>
    <row r="134" spans="1:14">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c r="A136" t="s">
        <v>148</v>
      </c>
      <c r="B136" s="2">
        <v>45831</v>
      </c>
      <c r="C136" t="s">
        <v>1348</v>
      </c>
      <c r="D136" t="s">
        <v>2408</v>
      </c>
      <c r="E136">
        <v>2</v>
      </c>
      <c r="F136">
        <v>199.7</v>
      </c>
      <c r="G136" t="s">
        <v>2534</v>
      </c>
      <c r="H136" t="s">
        <v>3069</v>
      </c>
      <c r="I136" t="s">
        <v>3074</v>
      </c>
      <c r="J136" t="s">
        <v>3209</v>
      </c>
      <c r="K136">
        <v>4</v>
      </c>
      <c r="L136" t="s">
        <v>4283</v>
      </c>
      <c r="M136" t="s">
        <v>4280</v>
      </c>
      <c r="N136">
        <v>399.4</v>
      </c>
    </row>
    <row r="137" spans="1:14">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c r="A139" t="s">
        <v>151</v>
      </c>
      <c r="B139" s="2">
        <v>45622</v>
      </c>
      <c r="C139" t="s">
        <v>1351</v>
      </c>
      <c r="D139" t="s">
        <v>2403</v>
      </c>
      <c r="E139">
        <v>2</v>
      </c>
      <c r="F139">
        <v>250.98</v>
      </c>
      <c r="G139" t="s">
        <v>2538</v>
      </c>
      <c r="H139" t="s">
        <v>3067</v>
      </c>
      <c r="I139" t="s">
        <v>3073</v>
      </c>
      <c r="J139" t="s">
        <v>3212</v>
      </c>
      <c r="K139">
        <v>5</v>
      </c>
      <c r="L139" t="s">
        <v>4283</v>
      </c>
      <c r="M139" t="s">
        <v>4282</v>
      </c>
      <c r="N139">
        <v>501.96</v>
      </c>
    </row>
    <row r="140" spans="1:14">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c r="A141" t="s">
        <v>153</v>
      </c>
      <c r="B141" s="2">
        <v>45026</v>
      </c>
      <c r="C141" t="s">
        <v>1353</v>
      </c>
      <c r="D141" t="s">
        <v>2404</v>
      </c>
      <c r="E141">
        <v>1</v>
      </c>
      <c r="F141">
        <v>583.9</v>
      </c>
      <c r="G141" t="s">
        <v>2540</v>
      </c>
      <c r="H141" t="s">
        <v>3069</v>
      </c>
      <c r="I141" t="s">
        <v>3072</v>
      </c>
      <c r="J141" t="s">
        <v>3214</v>
      </c>
      <c r="K141">
        <v>1</v>
      </c>
      <c r="L141" t="s">
        <v>4283</v>
      </c>
      <c r="M141" t="s">
        <v>4280</v>
      </c>
      <c r="N141">
        <v>583.9</v>
      </c>
    </row>
    <row r="142" spans="1:14">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c r="A145" t="s">
        <v>157</v>
      </c>
      <c r="B145" s="2">
        <v>45456</v>
      </c>
      <c r="C145" t="s">
        <v>1357</v>
      </c>
      <c r="D145" t="s">
        <v>2406</v>
      </c>
      <c r="E145">
        <v>4</v>
      </c>
      <c r="F145">
        <v>400.07</v>
      </c>
      <c r="G145" t="s">
        <v>2543</v>
      </c>
      <c r="H145" t="s">
        <v>3066</v>
      </c>
      <c r="I145" t="s">
        <v>3070</v>
      </c>
      <c r="J145" t="s">
        <v>3218</v>
      </c>
      <c r="K145">
        <v>5</v>
      </c>
      <c r="L145" t="s">
        <v>4283</v>
      </c>
      <c r="M145" t="s">
        <v>4279</v>
      </c>
      <c r="N145">
        <v>1600.28</v>
      </c>
    </row>
    <row r="146" spans="1:14">
      <c r="A146" t="s">
        <v>158</v>
      </c>
      <c r="B146" s="2">
        <v>45142</v>
      </c>
      <c r="C146" t="s">
        <v>1358</v>
      </c>
      <c r="D146" t="s">
        <v>2409</v>
      </c>
      <c r="E146">
        <v>5</v>
      </c>
      <c r="F146">
        <v>219.78</v>
      </c>
      <c r="G146" t="s">
        <v>2440</v>
      </c>
      <c r="H146" t="s">
        <v>3067</v>
      </c>
      <c r="I146" t="s">
        <v>3074</v>
      </c>
      <c r="J146" t="s">
        <v>3219</v>
      </c>
      <c r="K146">
        <v>8</v>
      </c>
      <c r="L146" t="s">
        <v>4283</v>
      </c>
      <c r="M146" t="s">
        <v>4281</v>
      </c>
      <c r="N146">
        <v>1098.9000000000001</v>
      </c>
    </row>
    <row r="147" spans="1:14">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c r="A148" t="s">
        <v>160</v>
      </c>
      <c r="B148" s="2">
        <v>45777</v>
      </c>
      <c r="C148" t="s">
        <v>1360</v>
      </c>
      <c r="D148" t="s">
        <v>2405</v>
      </c>
      <c r="E148">
        <v>2</v>
      </c>
      <c r="F148">
        <v>411.49</v>
      </c>
      <c r="G148" t="s">
        <v>2545</v>
      </c>
      <c r="H148" t="s">
        <v>3067</v>
      </c>
      <c r="I148" t="s">
        <v>3072</v>
      </c>
      <c r="J148" t="s">
        <v>3221</v>
      </c>
      <c r="K148">
        <v>4</v>
      </c>
      <c r="L148" t="s">
        <v>4283</v>
      </c>
      <c r="M148" t="s">
        <v>4278</v>
      </c>
      <c r="N148">
        <v>822.98</v>
      </c>
    </row>
    <row r="149" spans="1:14">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t="s">
        <v>163</v>
      </c>
      <c r="B151" s="2">
        <v>45287</v>
      </c>
      <c r="C151" t="s">
        <v>1363</v>
      </c>
      <c r="D151" t="s">
        <v>2408</v>
      </c>
      <c r="E151">
        <v>1</v>
      </c>
      <c r="F151">
        <v>217.56</v>
      </c>
      <c r="G151" t="s">
        <v>2548</v>
      </c>
      <c r="H151" t="s">
        <v>3065</v>
      </c>
      <c r="I151" t="s">
        <v>3073</v>
      </c>
      <c r="J151" t="s">
        <v>3224</v>
      </c>
      <c r="K151">
        <v>3</v>
      </c>
      <c r="L151" t="s">
        <v>4283</v>
      </c>
      <c r="M151" t="s">
        <v>4281</v>
      </c>
      <c r="N151">
        <v>217.56</v>
      </c>
    </row>
    <row r="152" spans="1:14">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c r="A153" t="s">
        <v>165</v>
      </c>
      <c r="B153" s="2">
        <v>45261</v>
      </c>
      <c r="C153" t="s">
        <v>1365</v>
      </c>
      <c r="D153" t="s">
        <v>2407</v>
      </c>
      <c r="E153">
        <v>5</v>
      </c>
      <c r="F153">
        <v>444.76</v>
      </c>
      <c r="G153" t="s">
        <v>2550</v>
      </c>
      <c r="H153" t="s">
        <v>3065</v>
      </c>
      <c r="I153" t="s">
        <v>3072</v>
      </c>
      <c r="J153" t="s">
        <v>3226</v>
      </c>
      <c r="K153">
        <v>7</v>
      </c>
      <c r="L153" t="s">
        <v>4283</v>
      </c>
      <c r="M153" t="s">
        <v>4280</v>
      </c>
      <c r="N153">
        <v>2223.8000000000002</v>
      </c>
    </row>
    <row r="154" spans="1:14">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c r="A156" t="s">
        <v>168</v>
      </c>
      <c r="B156" s="2">
        <v>45127</v>
      </c>
      <c r="C156" t="s">
        <v>1368</v>
      </c>
      <c r="D156" t="s">
        <v>2404</v>
      </c>
      <c r="E156">
        <v>4</v>
      </c>
      <c r="F156">
        <v>408.21</v>
      </c>
      <c r="G156" t="s">
        <v>2525</v>
      </c>
      <c r="H156" t="s">
        <v>3067</v>
      </c>
      <c r="I156" t="s">
        <v>3074</v>
      </c>
      <c r="J156" t="s">
        <v>3229</v>
      </c>
      <c r="K156">
        <v>9</v>
      </c>
      <c r="L156" t="s">
        <v>4283</v>
      </c>
      <c r="M156" t="s">
        <v>4278</v>
      </c>
      <c r="N156">
        <v>1632.84</v>
      </c>
    </row>
    <row r="157" spans="1:14">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t="s">
        <v>174</v>
      </c>
      <c r="B162" s="2">
        <v>44974</v>
      </c>
      <c r="C162" t="s">
        <v>1374</v>
      </c>
      <c r="D162" t="s">
        <v>2403</v>
      </c>
      <c r="E162">
        <v>4</v>
      </c>
      <c r="F162">
        <v>101.32</v>
      </c>
      <c r="G162" t="s">
        <v>2556</v>
      </c>
      <c r="H162" t="s">
        <v>3069</v>
      </c>
      <c r="I162" t="s">
        <v>3074</v>
      </c>
      <c r="J162" t="s">
        <v>3235</v>
      </c>
      <c r="K162">
        <v>7</v>
      </c>
      <c r="L162" t="s">
        <v>4283</v>
      </c>
      <c r="M162" t="s">
        <v>4279</v>
      </c>
      <c r="N162">
        <v>405.28</v>
      </c>
    </row>
    <row r="163" spans="1:14">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c r="A165" t="s">
        <v>177</v>
      </c>
      <c r="B165" s="2">
        <v>45832</v>
      </c>
      <c r="C165" t="s">
        <v>1377</v>
      </c>
      <c r="D165" t="s">
        <v>2405</v>
      </c>
      <c r="E165">
        <v>1</v>
      </c>
      <c r="F165">
        <v>641.39</v>
      </c>
      <c r="G165" t="s">
        <v>2557</v>
      </c>
      <c r="H165" t="s">
        <v>3066</v>
      </c>
      <c r="I165" t="s">
        <v>3071</v>
      </c>
      <c r="J165" t="s">
        <v>3238</v>
      </c>
      <c r="K165">
        <v>1</v>
      </c>
      <c r="L165" t="s">
        <v>4283</v>
      </c>
      <c r="M165" t="s">
        <v>4279</v>
      </c>
      <c r="N165">
        <v>641.39</v>
      </c>
    </row>
    <row r="166" spans="1:14">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c r="A170" t="s">
        <v>182</v>
      </c>
      <c r="B170" s="2">
        <v>45661</v>
      </c>
      <c r="C170" t="s">
        <v>1382</v>
      </c>
      <c r="D170" t="s">
        <v>2407</v>
      </c>
      <c r="E170">
        <v>1</v>
      </c>
      <c r="F170">
        <v>594.96</v>
      </c>
      <c r="G170" t="s">
        <v>2561</v>
      </c>
      <c r="H170" t="s">
        <v>3069</v>
      </c>
      <c r="I170" t="s">
        <v>3072</v>
      </c>
      <c r="J170" t="s">
        <v>3243</v>
      </c>
      <c r="K170">
        <v>6</v>
      </c>
      <c r="L170" t="s">
        <v>4283</v>
      </c>
      <c r="M170" t="s">
        <v>4281</v>
      </c>
      <c r="N170">
        <v>594.96</v>
      </c>
    </row>
    <row r="171" spans="1:14">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c r="A179" t="s">
        <v>191</v>
      </c>
      <c r="B179" s="2">
        <v>45143</v>
      </c>
      <c r="C179" t="s">
        <v>1391</v>
      </c>
      <c r="D179" t="s">
        <v>2406</v>
      </c>
      <c r="E179">
        <v>5</v>
      </c>
      <c r="F179">
        <v>431.69</v>
      </c>
      <c r="G179" t="s">
        <v>2569</v>
      </c>
      <c r="H179" t="s">
        <v>3067</v>
      </c>
      <c r="I179" t="s">
        <v>3074</v>
      </c>
      <c r="J179" t="s">
        <v>3252</v>
      </c>
      <c r="K179">
        <v>10</v>
      </c>
      <c r="L179" t="s">
        <v>4283</v>
      </c>
      <c r="M179" t="s">
        <v>4281</v>
      </c>
      <c r="N179">
        <v>2158.4499999999998</v>
      </c>
    </row>
    <row r="180" spans="1:14">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t="s">
        <v>193</v>
      </c>
      <c r="B181" s="2">
        <v>45620</v>
      </c>
      <c r="C181" t="s">
        <v>1393</v>
      </c>
      <c r="D181" t="s">
        <v>2408</v>
      </c>
      <c r="E181">
        <v>3</v>
      </c>
      <c r="F181">
        <v>539.91</v>
      </c>
      <c r="G181" t="s">
        <v>2571</v>
      </c>
      <c r="H181" t="s">
        <v>3067</v>
      </c>
      <c r="I181" t="s">
        <v>3073</v>
      </c>
      <c r="J181" t="s">
        <v>3254</v>
      </c>
      <c r="K181">
        <v>8</v>
      </c>
      <c r="L181" t="s">
        <v>4283</v>
      </c>
      <c r="M181" t="s">
        <v>4280</v>
      </c>
      <c r="N181">
        <v>1619.73</v>
      </c>
    </row>
    <row r="182" spans="1:14">
      <c r="A182" t="s">
        <v>194</v>
      </c>
      <c r="B182" s="2">
        <v>45003</v>
      </c>
      <c r="C182" t="s">
        <v>1394</v>
      </c>
      <c r="D182" t="s">
        <v>2405</v>
      </c>
      <c r="E182">
        <v>5</v>
      </c>
      <c r="F182">
        <v>316.07</v>
      </c>
      <c r="G182" t="s">
        <v>2572</v>
      </c>
      <c r="H182" t="s">
        <v>3069</v>
      </c>
      <c r="I182" t="s">
        <v>3072</v>
      </c>
      <c r="J182" t="s">
        <v>3255</v>
      </c>
      <c r="K182">
        <v>10</v>
      </c>
      <c r="L182" t="s">
        <v>4283</v>
      </c>
      <c r="M182" t="s">
        <v>4282</v>
      </c>
      <c r="N182">
        <v>1580.35</v>
      </c>
    </row>
    <row r="183" spans="1:14">
      <c r="A183" t="s">
        <v>195</v>
      </c>
      <c r="B183" s="2">
        <v>45535</v>
      </c>
      <c r="C183" t="s">
        <v>1395</v>
      </c>
      <c r="D183" t="s">
        <v>2407</v>
      </c>
      <c r="E183">
        <v>5</v>
      </c>
      <c r="F183">
        <v>404.39</v>
      </c>
      <c r="G183" t="s">
        <v>2573</v>
      </c>
      <c r="H183" t="s">
        <v>3066</v>
      </c>
      <c r="I183" t="s">
        <v>3070</v>
      </c>
      <c r="J183" t="s">
        <v>3256</v>
      </c>
      <c r="K183">
        <v>10</v>
      </c>
      <c r="L183" t="s">
        <v>4283</v>
      </c>
      <c r="M183" t="s">
        <v>4279</v>
      </c>
      <c r="N183">
        <v>2021.95</v>
      </c>
    </row>
    <row r="184" spans="1:14">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c r="A186" t="s">
        <v>198</v>
      </c>
      <c r="B186" s="2">
        <v>45386</v>
      </c>
      <c r="C186" t="s">
        <v>1398</v>
      </c>
      <c r="D186" t="s">
        <v>2405</v>
      </c>
      <c r="E186">
        <v>4</v>
      </c>
      <c r="F186">
        <v>214.54</v>
      </c>
      <c r="G186" t="s">
        <v>2576</v>
      </c>
      <c r="H186" t="s">
        <v>3068</v>
      </c>
      <c r="I186" t="s">
        <v>3071</v>
      </c>
      <c r="J186" t="s">
        <v>3259</v>
      </c>
      <c r="K186">
        <v>7</v>
      </c>
      <c r="L186" t="s">
        <v>4283</v>
      </c>
      <c r="M186" t="s">
        <v>4279</v>
      </c>
      <c r="N186">
        <v>858.16</v>
      </c>
    </row>
    <row r="187" spans="1:14">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c r="A195" t="s">
        <v>207</v>
      </c>
      <c r="B195" s="2">
        <v>45128</v>
      </c>
      <c r="C195" t="s">
        <v>1407</v>
      </c>
      <c r="D195" t="s">
        <v>2407</v>
      </c>
      <c r="E195">
        <v>1</v>
      </c>
      <c r="F195">
        <v>46.66</v>
      </c>
      <c r="G195" t="s">
        <v>2584</v>
      </c>
      <c r="H195" t="s">
        <v>3069</v>
      </c>
      <c r="I195" t="s">
        <v>3071</v>
      </c>
      <c r="J195" t="s">
        <v>3268</v>
      </c>
      <c r="K195">
        <v>6</v>
      </c>
      <c r="L195" t="s">
        <v>4283</v>
      </c>
      <c r="M195" t="s">
        <v>4282</v>
      </c>
      <c r="N195">
        <v>46.66</v>
      </c>
    </row>
    <row r="196" spans="1:14">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c r="A197" t="s">
        <v>209</v>
      </c>
      <c r="B197" s="2">
        <v>45404</v>
      </c>
      <c r="C197" t="s">
        <v>1409</v>
      </c>
      <c r="D197" t="s">
        <v>2406</v>
      </c>
      <c r="E197">
        <v>3</v>
      </c>
      <c r="F197">
        <v>619.21</v>
      </c>
      <c r="G197" t="s">
        <v>2586</v>
      </c>
      <c r="H197" t="s">
        <v>3065</v>
      </c>
      <c r="I197" t="s">
        <v>3071</v>
      </c>
      <c r="J197" t="s">
        <v>3270</v>
      </c>
      <c r="K197">
        <v>6</v>
      </c>
      <c r="L197" t="s">
        <v>4283</v>
      </c>
      <c r="M197" t="s">
        <v>4280</v>
      </c>
      <c r="N197">
        <v>1857.63</v>
      </c>
    </row>
    <row r="198" spans="1:14">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c r="A207" t="s">
        <v>219</v>
      </c>
      <c r="B207" s="2">
        <v>44989</v>
      </c>
      <c r="C207" t="s">
        <v>1419</v>
      </c>
      <c r="D207" t="s">
        <v>2409</v>
      </c>
      <c r="E207">
        <v>3</v>
      </c>
      <c r="F207">
        <v>147.38999999999999</v>
      </c>
      <c r="G207" t="s">
        <v>2591</v>
      </c>
      <c r="H207" t="s">
        <v>3065</v>
      </c>
      <c r="I207" t="s">
        <v>3072</v>
      </c>
      <c r="J207" t="s">
        <v>3280</v>
      </c>
      <c r="K207">
        <v>3</v>
      </c>
      <c r="L207" t="s">
        <v>4283</v>
      </c>
      <c r="M207" t="s">
        <v>4280</v>
      </c>
      <c r="N207">
        <v>442.17</v>
      </c>
    </row>
    <row r="208" spans="1:14">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c r="A209" t="s">
        <v>221</v>
      </c>
      <c r="B209" s="2">
        <v>45734</v>
      </c>
      <c r="C209" t="s">
        <v>1421</v>
      </c>
      <c r="D209" t="s">
        <v>2404</v>
      </c>
      <c r="E209">
        <v>1</v>
      </c>
      <c r="F209">
        <v>121.96</v>
      </c>
      <c r="G209" t="s">
        <v>2593</v>
      </c>
      <c r="H209" t="s">
        <v>3065</v>
      </c>
      <c r="I209" t="s">
        <v>3073</v>
      </c>
      <c r="J209" t="s">
        <v>3282</v>
      </c>
      <c r="K209">
        <v>3</v>
      </c>
      <c r="L209" t="s">
        <v>4283</v>
      </c>
      <c r="M209" t="s">
        <v>4282</v>
      </c>
      <c r="N209">
        <v>121.96</v>
      </c>
    </row>
    <row r="210" spans="1:14">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c r="A216" t="s">
        <v>228</v>
      </c>
      <c r="B216" s="2">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c r="A219" t="s">
        <v>231</v>
      </c>
      <c r="B219" s="2">
        <v>45432</v>
      </c>
      <c r="C219" t="s">
        <v>1431</v>
      </c>
      <c r="D219" t="s">
        <v>2409</v>
      </c>
      <c r="E219">
        <v>4</v>
      </c>
      <c r="F219">
        <v>321.51</v>
      </c>
      <c r="G219" t="s">
        <v>2598</v>
      </c>
      <c r="H219" t="s">
        <v>3069</v>
      </c>
      <c r="I219" t="s">
        <v>3072</v>
      </c>
      <c r="J219" t="s">
        <v>3292</v>
      </c>
      <c r="K219">
        <v>9</v>
      </c>
      <c r="L219" t="s">
        <v>4283</v>
      </c>
      <c r="M219" t="s">
        <v>4282</v>
      </c>
      <c r="N219">
        <v>1286.04</v>
      </c>
    </row>
    <row r="220" spans="1:14">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c r="A224" t="s">
        <v>236</v>
      </c>
      <c r="B224" s="2">
        <v>45050</v>
      </c>
      <c r="C224" t="s">
        <v>1436</v>
      </c>
      <c r="D224" t="s">
        <v>2406</v>
      </c>
      <c r="E224">
        <v>4</v>
      </c>
      <c r="F224">
        <v>693.36</v>
      </c>
      <c r="G224" t="s">
        <v>2602</v>
      </c>
      <c r="H224" t="s">
        <v>3066</v>
      </c>
      <c r="I224" t="s">
        <v>3070</v>
      </c>
      <c r="J224" t="s">
        <v>3297</v>
      </c>
      <c r="K224">
        <v>8</v>
      </c>
      <c r="L224" t="s">
        <v>4283</v>
      </c>
      <c r="M224" t="s">
        <v>4278</v>
      </c>
      <c r="N224">
        <v>2773.44</v>
      </c>
    </row>
    <row r="225" spans="1:14">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t="s">
        <v>240</v>
      </c>
      <c r="B228" s="2">
        <v>45835</v>
      </c>
      <c r="C228" t="s">
        <v>1440</v>
      </c>
      <c r="D228" t="s">
        <v>2409</v>
      </c>
      <c r="E228">
        <v>3</v>
      </c>
      <c r="F228">
        <v>588.04999999999995</v>
      </c>
      <c r="G228" t="s">
        <v>2605</v>
      </c>
      <c r="H228" t="s">
        <v>3068</v>
      </c>
      <c r="I228" t="s">
        <v>3073</v>
      </c>
      <c r="J228" t="s">
        <v>3301</v>
      </c>
      <c r="K228">
        <v>8</v>
      </c>
      <c r="L228" t="s">
        <v>4283</v>
      </c>
      <c r="M228" t="s">
        <v>4278</v>
      </c>
      <c r="N228">
        <v>1764.15</v>
      </c>
    </row>
    <row r="229" spans="1:14">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c r="A230" t="s">
        <v>242</v>
      </c>
      <c r="B230" s="2">
        <v>45063</v>
      </c>
      <c r="C230" t="s">
        <v>1442</v>
      </c>
      <c r="D230" t="s">
        <v>2406</v>
      </c>
      <c r="E230">
        <v>4</v>
      </c>
      <c r="F230">
        <v>385.92</v>
      </c>
      <c r="G230" t="s">
        <v>2606</v>
      </c>
      <c r="H230" t="s">
        <v>3067</v>
      </c>
      <c r="I230" t="s">
        <v>3071</v>
      </c>
      <c r="J230" t="s">
        <v>3303</v>
      </c>
      <c r="K230">
        <v>8</v>
      </c>
      <c r="L230" t="s">
        <v>4283</v>
      </c>
      <c r="M230" t="s">
        <v>4278</v>
      </c>
      <c r="N230">
        <v>1543.68</v>
      </c>
    </row>
    <row r="231" spans="1:14">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c r="A247" t="s">
        <v>259</v>
      </c>
      <c r="B247" s="2">
        <v>45767</v>
      </c>
      <c r="C247" t="s">
        <v>1459</v>
      </c>
      <c r="D247" t="s">
        <v>2408</v>
      </c>
      <c r="E247">
        <v>1</v>
      </c>
      <c r="F247">
        <v>223.3</v>
      </c>
      <c r="G247" t="s">
        <v>2622</v>
      </c>
      <c r="H247" t="s">
        <v>3066</v>
      </c>
      <c r="I247" t="s">
        <v>3072</v>
      </c>
      <c r="J247" t="s">
        <v>3320</v>
      </c>
      <c r="K247">
        <v>1</v>
      </c>
      <c r="L247" t="s">
        <v>4283</v>
      </c>
      <c r="M247" t="s">
        <v>4281</v>
      </c>
      <c r="N247">
        <v>223.3</v>
      </c>
    </row>
    <row r="248" spans="1:14">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c r="A249" t="s">
        <v>261</v>
      </c>
      <c r="B249" s="2">
        <v>45127</v>
      </c>
      <c r="C249" t="s">
        <v>1461</v>
      </c>
      <c r="D249" t="s">
        <v>2407</v>
      </c>
      <c r="E249">
        <v>2</v>
      </c>
      <c r="F249">
        <v>220.9</v>
      </c>
      <c r="G249" t="s">
        <v>2624</v>
      </c>
      <c r="H249" t="s">
        <v>3068</v>
      </c>
      <c r="I249" t="s">
        <v>3070</v>
      </c>
      <c r="J249" t="s">
        <v>3322</v>
      </c>
      <c r="K249">
        <v>4</v>
      </c>
      <c r="L249" t="s">
        <v>4283</v>
      </c>
      <c r="M249" t="s">
        <v>4280</v>
      </c>
      <c r="N249">
        <v>441.8</v>
      </c>
    </row>
    <row r="250" spans="1:14">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c r="A253" t="s">
        <v>265</v>
      </c>
      <c r="B253" s="2">
        <v>45792</v>
      </c>
      <c r="C253" t="s">
        <v>1465</v>
      </c>
      <c r="D253" t="s">
        <v>2403</v>
      </c>
      <c r="E253">
        <v>4</v>
      </c>
      <c r="F253">
        <v>14.69</v>
      </c>
      <c r="G253" t="s">
        <v>2627</v>
      </c>
      <c r="H253" t="s">
        <v>3069</v>
      </c>
      <c r="I253" t="s">
        <v>3071</v>
      </c>
      <c r="J253" t="s">
        <v>3326</v>
      </c>
      <c r="K253">
        <v>9</v>
      </c>
      <c r="L253" t="s">
        <v>4283</v>
      </c>
      <c r="M253" t="s">
        <v>4280</v>
      </c>
      <c r="N253">
        <v>58.76</v>
      </c>
    </row>
    <row r="254" spans="1:14">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c r="A256" t="s">
        <v>268</v>
      </c>
      <c r="B256" s="2">
        <v>45286</v>
      </c>
      <c r="C256" t="s">
        <v>1468</v>
      </c>
      <c r="D256" t="s">
        <v>2403</v>
      </c>
      <c r="E256">
        <v>3</v>
      </c>
      <c r="F256">
        <v>263.19</v>
      </c>
      <c r="G256" t="s">
        <v>2615</v>
      </c>
      <c r="H256" t="s">
        <v>3066</v>
      </c>
      <c r="I256" t="s">
        <v>3073</v>
      </c>
      <c r="J256" t="s">
        <v>3329</v>
      </c>
      <c r="K256">
        <v>5</v>
      </c>
      <c r="L256" t="s">
        <v>4283</v>
      </c>
      <c r="M256" t="s">
        <v>4278</v>
      </c>
      <c r="N256">
        <v>789.56999999999994</v>
      </c>
    </row>
    <row r="257" spans="1:14">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c r="A262" t="s">
        <v>274</v>
      </c>
      <c r="B262" s="2">
        <v>45063</v>
      </c>
      <c r="C262" t="s">
        <v>1474</v>
      </c>
      <c r="D262" t="s">
        <v>2403</v>
      </c>
      <c r="E262">
        <v>2</v>
      </c>
      <c r="F262">
        <v>407.79</v>
      </c>
      <c r="G262" t="s">
        <v>2632</v>
      </c>
      <c r="H262" t="s">
        <v>3065</v>
      </c>
      <c r="I262" t="s">
        <v>3070</v>
      </c>
      <c r="J262" t="s">
        <v>3335</v>
      </c>
      <c r="K262">
        <v>3</v>
      </c>
      <c r="L262" t="s">
        <v>4283</v>
      </c>
      <c r="M262" t="s">
        <v>4282</v>
      </c>
      <c r="N262">
        <v>815.58</v>
      </c>
    </row>
    <row r="263" spans="1:14">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t="s">
        <v>281</v>
      </c>
      <c r="B269" s="2">
        <v>45764</v>
      </c>
      <c r="C269" t="s">
        <v>1481</v>
      </c>
      <c r="D269" t="s">
        <v>2406</v>
      </c>
      <c r="E269">
        <v>5</v>
      </c>
      <c r="F269">
        <v>468.51</v>
      </c>
      <c r="G269" t="s">
        <v>2638</v>
      </c>
      <c r="H269" t="s">
        <v>3065</v>
      </c>
      <c r="I269" t="s">
        <v>3073</v>
      </c>
      <c r="J269" t="s">
        <v>3342</v>
      </c>
      <c r="K269">
        <v>9</v>
      </c>
      <c r="L269" t="s">
        <v>4283</v>
      </c>
      <c r="M269" t="s">
        <v>4281</v>
      </c>
      <c r="N269">
        <v>2342.5500000000002</v>
      </c>
    </row>
    <row r="270" spans="1:14">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c r="A283" t="s">
        <v>295</v>
      </c>
      <c r="B283" s="2">
        <v>45134</v>
      </c>
      <c r="C283" t="s">
        <v>1495</v>
      </c>
      <c r="D283" t="s">
        <v>2409</v>
      </c>
      <c r="E283">
        <v>4</v>
      </c>
      <c r="F283">
        <v>654.79</v>
      </c>
      <c r="G283" t="s">
        <v>2651</v>
      </c>
      <c r="H283" t="s">
        <v>3069</v>
      </c>
      <c r="I283" t="s">
        <v>3074</v>
      </c>
      <c r="J283" t="s">
        <v>3356</v>
      </c>
      <c r="K283">
        <v>9</v>
      </c>
      <c r="L283" t="s">
        <v>4283</v>
      </c>
      <c r="M283" t="s">
        <v>4279</v>
      </c>
      <c r="N283">
        <v>2619.16</v>
      </c>
    </row>
    <row r="284" spans="1:14">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c r="A285" t="s">
        <v>297</v>
      </c>
      <c r="B285" s="2">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c r="A287" t="s">
        <v>299</v>
      </c>
      <c r="B287" s="2">
        <v>45818</v>
      </c>
      <c r="C287" t="s">
        <v>1499</v>
      </c>
      <c r="D287" t="s">
        <v>2404</v>
      </c>
      <c r="E287">
        <v>1</v>
      </c>
      <c r="F287">
        <v>338.31</v>
      </c>
      <c r="G287" t="s">
        <v>2643</v>
      </c>
      <c r="H287" t="s">
        <v>3066</v>
      </c>
      <c r="I287" t="s">
        <v>3073</v>
      </c>
      <c r="J287" t="s">
        <v>3360</v>
      </c>
      <c r="K287">
        <v>3</v>
      </c>
      <c r="L287" t="s">
        <v>4283</v>
      </c>
      <c r="M287" t="s">
        <v>4282</v>
      </c>
      <c r="N287">
        <v>338.31</v>
      </c>
    </row>
    <row r="288" spans="1:14">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c r="A289" t="s">
        <v>301</v>
      </c>
      <c r="B289" s="2">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c r="A294" t="s">
        <v>306</v>
      </c>
      <c r="B294" s="2">
        <v>45672</v>
      </c>
      <c r="C294" t="s">
        <v>1506</v>
      </c>
      <c r="D294" t="s">
        <v>2403</v>
      </c>
      <c r="E294">
        <v>1</v>
      </c>
      <c r="F294">
        <v>65.95</v>
      </c>
      <c r="G294" t="s">
        <v>2594</v>
      </c>
      <c r="H294" t="s">
        <v>3067</v>
      </c>
      <c r="I294" t="s">
        <v>3073</v>
      </c>
      <c r="J294" t="s">
        <v>3367</v>
      </c>
      <c r="K294">
        <v>5</v>
      </c>
      <c r="L294" t="s">
        <v>4283</v>
      </c>
      <c r="M294" t="s">
        <v>4281</v>
      </c>
      <c r="N294">
        <v>65.95</v>
      </c>
    </row>
    <row r="295" spans="1:14">
      <c r="A295" t="s">
        <v>307</v>
      </c>
      <c r="B295" s="2">
        <v>44973</v>
      </c>
      <c r="C295" t="s">
        <v>1507</v>
      </c>
      <c r="D295" t="s">
        <v>2405</v>
      </c>
      <c r="E295">
        <v>4</v>
      </c>
      <c r="F295">
        <v>463.04</v>
      </c>
      <c r="G295" t="s">
        <v>2658</v>
      </c>
      <c r="H295" t="s">
        <v>3068</v>
      </c>
      <c r="I295" t="s">
        <v>3072</v>
      </c>
      <c r="J295" t="s">
        <v>3368</v>
      </c>
      <c r="K295">
        <v>9</v>
      </c>
      <c r="L295" t="s">
        <v>4283</v>
      </c>
      <c r="M295" t="s">
        <v>4278</v>
      </c>
      <c r="N295">
        <v>1852.16</v>
      </c>
    </row>
    <row r="296" spans="1:14">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c r="A300" t="s">
        <v>312</v>
      </c>
      <c r="B300" s="2">
        <v>45279</v>
      </c>
      <c r="C300" t="s">
        <v>1512</v>
      </c>
      <c r="D300" t="s">
        <v>2407</v>
      </c>
      <c r="E300">
        <v>4</v>
      </c>
      <c r="F300">
        <v>301.17</v>
      </c>
      <c r="G300" t="s">
        <v>2450</v>
      </c>
      <c r="H300" t="s">
        <v>3066</v>
      </c>
      <c r="I300" t="s">
        <v>3071</v>
      </c>
      <c r="J300" t="s">
        <v>3373</v>
      </c>
      <c r="K300">
        <v>6</v>
      </c>
      <c r="L300" t="s">
        <v>4283</v>
      </c>
      <c r="M300" t="s">
        <v>4280</v>
      </c>
      <c r="N300">
        <v>1204.68</v>
      </c>
    </row>
    <row r="301" spans="1:14">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c r="A305" t="s">
        <v>317</v>
      </c>
      <c r="B305" s="2">
        <v>45633</v>
      </c>
      <c r="C305" t="s">
        <v>1517</v>
      </c>
      <c r="D305" t="s">
        <v>2405</v>
      </c>
      <c r="E305">
        <v>1</v>
      </c>
      <c r="F305">
        <v>30.54</v>
      </c>
      <c r="G305" t="s">
        <v>2666</v>
      </c>
      <c r="H305" t="s">
        <v>3065</v>
      </c>
      <c r="I305" t="s">
        <v>3072</v>
      </c>
      <c r="J305" t="s">
        <v>3378</v>
      </c>
      <c r="K305">
        <v>1</v>
      </c>
      <c r="L305" t="s">
        <v>4283</v>
      </c>
      <c r="M305" t="s">
        <v>4282</v>
      </c>
      <c r="N305">
        <v>30.54</v>
      </c>
    </row>
    <row r="306" spans="1:14">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c r="A309" t="s">
        <v>321</v>
      </c>
      <c r="B309" s="2">
        <v>45108</v>
      </c>
      <c r="C309" t="s">
        <v>1521</v>
      </c>
      <c r="D309" t="s">
        <v>2408</v>
      </c>
      <c r="E309">
        <v>3</v>
      </c>
      <c r="F309">
        <v>557.41</v>
      </c>
      <c r="G309" t="s">
        <v>2670</v>
      </c>
      <c r="H309" t="s">
        <v>3066</v>
      </c>
      <c r="I309" t="s">
        <v>3073</v>
      </c>
      <c r="J309" t="s">
        <v>3382</v>
      </c>
      <c r="K309">
        <v>4</v>
      </c>
      <c r="L309" t="s">
        <v>4283</v>
      </c>
      <c r="M309" t="s">
        <v>4280</v>
      </c>
      <c r="N309">
        <v>1672.23</v>
      </c>
    </row>
    <row r="310" spans="1:14">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c r="A312" t="s">
        <v>324</v>
      </c>
      <c r="B312" s="2">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c r="A313" t="s">
        <v>325</v>
      </c>
      <c r="B313" s="2">
        <v>45794</v>
      </c>
      <c r="C313" t="s">
        <v>1525</v>
      </c>
      <c r="D313" t="s">
        <v>2409</v>
      </c>
      <c r="E313">
        <v>5</v>
      </c>
      <c r="F313">
        <v>489.37</v>
      </c>
      <c r="G313" t="s">
        <v>2673</v>
      </c>
      <c r="H313" t="s">
        <v>3066</v>
      </c>
      <c r="I313" t="s">
        <v>3072</v>
      </c>
      <c r="J313" t="s">
        <v>3386</v>
      </c>
      <c r="K313">
        <v>8</v>
      </c>
      <c r="L313" t="s">
        <v>4283</v>
      </c>
      <c r="M313" t="s">
        <v>4278</v>
      </c>
      <c r="N313">
        <v>2446.85</v>
      </c>
    </row>
    <row r="314" spans="1:14">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t="s">
        <v>331</v>
      </c>
      <c r="B319" s="2">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c r="A321" t="s">
        <v>333</v>
      </c>
      <c r="B321" s="2">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t="s">
        <v>338</v>
      </c>
      <c r="B326" s="2">
        <v>45456</v>
      </c>
      <c r="C326" t="s">
        <v>1538</v>
      </c>
      <c r="D326" t="s">
        <v>2405</v>
      </c>
      <c r="E326">
        <v>3</v>
      </c>
      <c r="F326">
        <v>70.930000000000007</v>
      </c>
      <c r="G326" t="s">
        <v>2682</v>
      </c>
      <c r="H326" t="s">
        <v>3065</v>
      </c>
      <c r="I326" t="s">
        <v>3072</v>
      </c>
      <c r="J326" t="s">
        <v>3399</v>
      </c>
      <c r="K326">
        <v>5</v>
      </c>
      <c r="L326" t="s">
        <v>4283</v>
      </c>
      <c r="M326" t="s">
        <v>4279</v>
      </c>
      <c r="N326">
        <v>212.79</v>
      </c>
    </row>
    <row r="327" spans="1:14">
      <c r="A327" t="s">
        <v>339</v>
      </c>
      <c r="B327" s="2">
        <v>45106</v>
      </c>
      <c r="C327" t="s">
        <v>1539</v>
      </c>
      <c r="D327" t="s">
        <v>2409</v>
      </c>
      <c r="E327">
        <v>3</v>
      </c>
      <c r="F327">
        <v>361.39</v>
      </c>
      <c r="G327" t="s">
        <v>2683</v>
      </c>
      <c r="H327" t="s">
        <v>3067</v>
      </c>
      <c r="I327" t="s">
        <v>3070</v>
      </c>
      <c r="J327" t="s">
        <v>3400</v>
      </c>
      <c r="K327">
        <v>8</v>
      </c>
      <c r="L327" t="s">
        <v>4283</v>
      </c>
      <c r="M327" t="s">
        <v>4279</v>
      </c>
      <c r="N327">
        <v>1084.17</v>
      </c>
    </row>
    <row r="328" spans="1:14">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c r="A331" t="s">
        <v>343</v>
      </c>
      <c r="B331" s="2">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c r="A337" t="s">
        <v>349</v>
      </c>
      <c r="B337" s="2">
        <v>45719</v>
      </c>
      <c r="C337" t="s">
        <v>1549</v>
      </c>
      <c r="D337" t="s">
        <v>2405</v>
      </c>
      <c r="E337">
        <v>3</v>
      </c>
      <c r="F337">
        <v>205.86</v>
      </c>
      <c r="G337" t="s">
        <v>2674</v>
      </c>
      <c r="H337" t="s">
        <v>3068</v>
      </c>
      <c r="I337" t="s">
        <v>3070</v>
      </c>
      <c r="J337" t="s">
        <v>3410</v>
      </c>
      <c r="K337">
        <v>4</v>
      </c>
      <c r="L337" t="s">
        <v>4283</v>
      </c>
      <c r="M337" t="s">
        <v>4280</v>
      </c>
      <c r="N337">
        <v>617.58000000000004</v>
      </c>
    </row>
    <row r="338" spans="1:14">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c r="A340" t="s">
        <v>352</v>
      </c>
      <c r="B340" s="2">
        <v>45238</v>
      </c>
      <c r="C340" t="s">
        <v>1552</v>
      </c>
      <c r="D340" t="s">
        <v>2404</v>
      </c>
      <c r="E340">
        <v>5</v>
      </c>
      <c r="F340">
        <v>305.49</v>
      </c>
      <c r="G340" t="s">
        <v>2691</v>
      </c>
      <c r="H340" t="s">
        <v>3065</v>
      </c>
      <c r="I340" t="s">
        <v>3070</v>
      </c>
      <c r="J340" t="s">
        <v>3413</v>
      </c>
      <c r="K340">
        <v>10</v>
      </c>
      <c r="L340" t="s">
        <v>4283</v>
      </c>
      <c r="M340" t="s">
        <v>4279</v>
      </c>
      <c r="N340">
        <v>1527.45</v>
      </c>
    </row>
    <row r="341" spans="1:14">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c r="A342" t="s">
        <v>354</v>
      </c>
      <c r="B342" s="2">
        <v>45039</v>
      </c>
      <c r="C342" t="s">
        <v>1554</v>
      </c>
      <c r="D342" t="s">
        <v>2408</v>
      </c>
      <c r="E342">
        <v>5</v>
      </c>
      <c r="F342">
        <v>521.25</v>
      </c>
      <c r="G342" t="s">
        <v>2693</v>
      </c>
      <c r="H342" t="s">
        <v>3069</v>
      </c>
      <c r="I342" t="s">
        <v>3071</v>
      </c>
      <c r="J342" t="s">
        <v>3415</v>
      </c>
      <c r="K342">
        <v>8</v>
      </c>
      <c r="L342" t="s">
        <v>4283</v>
      </c>
      <c r="M342" t="s">
        <v>4280</v>
      </c>
      <c r="N342">
        <v>2606.25</v>
      </c>
    </row>
    <row r="343" spans="1:14">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c r="A344" t="s">
        <v>356</v>
      </c>
      <c r="B344" s="2">
        <v>45832</v>
      </c>
      <c r="C344" t="s">
        <v>1556</v>
      </c>
      <c r="D344" t="s">
        <v>2403</v>
      </c>
      <c r="E344">
        <v>5</v>
      </c>
      <c r="F344">
        <v>466.42</v>
      </c>
      <c r="G344" t="s">
        <v>2695</v>
      </c>
      <c r="H344" t="s">
        <v>3068</v>
      </c>
      <c r="I344" t="s">
        <v>3072</v>
      </c>
      <c r="J344" t="s">
        <v>3417</v>
      </c>
      <c r="K344">
        <v>5</v>
      </c>
      <c r="L344" t="s">
        <v>4283</v>
      </c>
      <c r="M344" t="s">
        <v>4279</v>
      </c>
      <c r="N344">
        <v>2332.1</v>
      </c>
    </row>
    <row r="345" spans="1:14">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c r="A348" t="s">
        <v>360</v>
      </c>
      <c r="B348" s="2">
        <v>45632</v>
      </c>
      <c r="C348" t="s">
        <v>1560</v>
      </c>
      <c r="D348" t="s">
        <v>2405</v>
      </c>
      <c r="E348">
        <v>1</v>
      </c>
      <c r="F348">
        <v>655.09</v>
      </c>
      <c r="G348" t="s">
        <v>2699</v>
      </c>
      <c r="H348" t="s">
        <v>3069</v>
      </c>
      <c r="I348" t="s">
        <v>3074</v>
      </c>
      <c r="J348" t="s">
        <v>3421</v>
      </c>
      <c r="K348">
        <v>6</v>
      </c>
      <c r="L348" t="s">
        <v>4283</v>
      </c>
      <c r="M348" t="s">
        <v>4279</v>
      </c>
      <c r="N348">
        <v>655.09</v>
      </c>
    </row>
    <row r="349" spans="1:14">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c r="A352" t="s">
        <v>364</v>
      </c>
      <c r="B352" s="2">
        <v>45080</v>
      </c>
      <c r="C352" t="s">
        <v>1564</v>
      </c>
      <c r="D352" t="s">
        <v>2406</v>
      </c>
      <c r="E352">
        <v>2</v>
      </c>
      <c r="F352">
        <v>54.41</v>
      </c>
      <c r="G352" t="s">
        <v>2703</v>
      </c>
      <c r="H352" t="s">
        <v>3066</v>
      </c>
      <c r="I352" t="s">
        <v>3070</v>
      </c>
      <c r="J352" t="s">
        <v>3425</v>
      </c>
      <c r="K352">
        <v>6</v>
      </c>
      <c r="L352" t="s">
        <v>4283</v>
      </c>
      <c r="M352" t="s">
        <v>4278</v>
      </c>
      <c r="N352">
        <v>108.82</v>
      </c>
    </row>
    <row r="353" spans="1:14">
      <c r="A353" t="s">
        <v>365</v>
      </c>
      <c r="B353" s="2">
        <v>45703</v>
      </c>
      <c r="C353" t="s">
        <v>1565</v>
      </c>
      <c r="D353" t="s">
        <v>2408</v>
      </c>
      <c r="E353">
        <v>1</v>
      </c>
      <c r="F353">
        <v>64.66</v>
      </c>
      <c r="G353" t="s">
        <v>2704</v>
      </c>
      <c r="H353" t="s">
        <v>3065</v>
      </c>
      <c r="I353" t="s">
        <v>3073</v>
      </c>
      <c r="J353" t="s">
        <v>3426</v>
      </c>
      <c r="K353">
        <v>4</v>
      </c>
      <c r="L353" t="s">
        <v>4283</v>
      </c>
      <c r="M353" t="s">
        <v>4278</v>
      </c>
      <c r="N353">
        <v>64.66</v>
      </c>
    </row>
    <row r="354" spans="1:14">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t="s">
        <v>368</v>
      </c>
      <c r="B356" s="2">
        <v>45118</v>
      </c>
      <c r="C356" t="s">
        <v>1568</v>
      </c>
      <c r="D356" t="s">
        <v>2404</v>
      </c>
      <c r="E356">
        <v>1</v>
      </c>
      <c r="F356">
        <v>693.41</v>
      </c>
      <c r="G356" t="s">
        <v>2707</v>
      </c>
      <c r="H356" t="s">
        <v>3065</v>
      </c>
      <c r="I356" t="s">
        <v>3070</v>
      </c>
      <c r="J356" t="s">
        <v>3429</v>
      </c>
      <c r="K356">
        <v>4</v>
      </c>
      <c r="L356" t="s">
        <v>4283</v>
      </c>
      <c r="M356" t="s">
        <v>4278</v>
      </c>
      <c r="N356">
        <v>693.41</v>
      </c>
    </row>
    <row r="357" spans="1:14">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t="s">
        <v>374</v>
      </c>
      <c r="B362" s="2">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c r="A368" t="s">
        <v>380</v>
      </c>
      <c r="B368" s="2">
        <v>44967</v>
      </c>
      <c r="C368" t="s">
        <v>1580</v>
      </c>
      <c r="D368" t="s">
        <v>2407</v>
      </c>
      <c r="E368">
        <v>3</v>
      </c>
      <c r="F368">
        <v>602.24</v>
      </c>
      <c r="G368" t="s">
        <v>2715</v>
      </c>
      <c r="H368" t="s">
        <v>3065</v>
      </c>
      <c r="I368" t="s">
        <v>3074</v>
      </c>
      <c r="J368" t="s">
        <v>3441</v>
      </c>
      <c r="K368">
        <v>8</v>
      </c>
      <c r="L368" t="s">
        <v>4283</v>
      </c>
      <c r="M368" t="s">
        <v>4279</v>
      </c>
      <c r="N368">
        <v>1806.72</v>
      </c>
    </row>
    <row r="369" spans="1:14">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c r="A370" t="s">
        <v>382</v>
      </c>
      <c r="B370" s="2">
        <v>45047</v>
      </c>
      <c r="C370" t="s">
        <v>1582</v>
      </c>
      <c r="D370" t="s">
        <v>2403</v>
      </c>
      <c r="E370">
        <v>3</v>
      </c>
      <c r="F370">
        <v>271.02</v>
      </c>
      <c r="G370" t="s">
        <v>2716</v>
      </c>
      <c r="H370" t="s">
        <v>3067</v>
      </c>
      <c r="I370" t="s">
        <v>3071</v>
      </c>
      <c r="J370" t="s">
        <v>3443</v>
      </c>
      <c r="K370">
        <v>6</v>
      </c>
      <c r="L370" t="s">
        <v>4283</v>
      </c>
      <c r="M370" t="s">
        <v>4282</v>
      </c>
      <c r="N370">
        <v>813.06</v>
      </c>
    </row>
    <row r="371" spans="1:14">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c r="A374" t="s">
        <v>386</v>
      </c>
      <c r="B374" s="2">
        <v>45702</v>
      </c>
      <c r="C374" t="s">
        <v>1586</v>
      </c>
      <c r="D374" t="s">
        <v>2406</v>
      </c>
      <c r="E374">
        <v>3</v>
      </c>
      <c r="F374">
        <v>483.53</v>
      </c>
      <c r="G374" t="s">
        <v>2719</v>
      </c>
      <c r="H374" t="s">
        <v>3069</v>
      </c>
      <c r="I374" t="s">
        <v>3072</v>
      </c>
      <c r="J374" t="s">
        <v>3447</v>
      </c>
      <c r="K374">
        <v>4</v>
      </c>
      <c r="L374" t="s">
        <v>4283</v>
      </c>
      <c r="M374" t="s">
        <v>4279</v>
      </c>
      <c r="N374">
        <v>1450.59</v>
      </c>
    </row>
    <row r="375" spans="1:14">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c r="A381" t="s">
        <v>393</v>
      </c>
      <c r="B381" s="2">
        <v>45556</v>
      </c>
      <c r="C381" t="s">
        <v>1593</v>
      </c>
      <c r="D381" t="s">
        <v>2404</v>
      </c>
      <c r="E381">
        <v>3</v>
      </c>
      <c r="F381">
        <v>297.67</v>
      </c>
      <c r="G381" t="s">
        <v>2571</v>
      </c>
      <c r="H381" t="s">
        <v>3066</v>
      </c>
      <c r="I381" t="s">
        <v>3070</v>
      </c>
      <c r="J381" t="s">
        <v>3454</v>
      </c>
      <c r="K381">
        <v>6</v>
      </c>
      <c r="L381" t="s">
        <v>4283</v>
      </c>
      <c r="M381" t="s">
        <v>4282</v>
      </c>
      <c r="N381">
        <v>893.01</v>
      </c>
    </row>
    <row r="382" spans="1:14">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c r="A388" t="s">
        <v>400</v>
      </c>
      <c r="B388" s="2">
        <v>45044</v>
      </c>
      <c r="C388" t="s">
        <v>1600</v>
      </c>
      <c r="D388" t="s">
        <v>2405</v>
      </c>
      <c r="E388">
        <v>1</v>
      </c>
      <c r="F388">
        <v>93.02</v>
      </c>
      <c r="G388" t="s">
        <v>2726</v>
      </c>
      <c r="H388" t="s">
        <v>3066</v>
      </c>
      <c r="I388" t="s">
        <v>3072</v>
      </c>
      <c r="J388" t="s">
        <v>3461</v>
      </c>
      <c r="K388">
        <v>4</v>
      </c>
      <c r="L388" t="s">
        <v>4283</v>
      </c>
      <c r="M388" t="s">
        <v>4280</v>
      </c>
      <c r="N388">
        <v>93.02</v>
      </c>
    </row>
    <row r="389" spans="1:14">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t="s">
        <v>407</v>
      </c>
      <c r="B395" s="2">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c r="A396" t="s">
        <v>408</v>
      </c>
      <c r="B396" s="2">
        <v>45112</v>
      </c>
      <c r="C396" t="s">
        <v>1608</v>
      </c>
      <c r="D396" t="s">
        <v>2409</v>
      </c>
      <c r="E396">
        <v>5</v>
      </c>
      <c r="F396">
        <v>529.54999999999995</v>
      </c>
      <c r="G396" t="s">
        <v>2729</v>
      </c>
      <c r="H396" t="s">
        <v>3068</v>
      </c>
      <c r="I396" t="s">
        <v>3070</v>
      </c>
      <c r="J396" t="s">
        <v>3469</v>
      </c>
      <c r="K396">
        <v>10</v>
      </c>
      <c r="L396" t="s">
        <v>4283</v>
      </c>
      <c r="M396" t="s">
        <v>4281</v>
      </c>
      <c r="N396">
        <v>2647.75</v>
      </c>
    </row>
    <row r="397" spans="1:14">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c r="A403" t="s">
        <v>415</v>
      </c>
      <c r="B403" s="2">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c r="A404" t="s">
        <v>416</v>
      </c>
      <c r="B404" s="2">
        <v>45025</v>
      </c>
      <c r="C404" t="s">
        <v>1616</v>
      </c>
      <c r="D404" t="s">
        <v>2407</v>
      </c>
      <c r="E404">
        <v>5</v>
      </c>
      <c r="F404">
        <v>337.38</v>
      </c>
      <c r="G404" t="s">
        <v>2734</v>
      </c>
      <c r="H404" t="s">
        <v>3068</v>
      </c>
      <c r="I404" t="s">
        <v>3070</v>
      </c>
      <c r="J404" t="s">
        <v>3477</v>
      </c>
      <c r="K404">
        <v>5</v>
      </c>
      <c r="L404" t="s">
        <v>4283</v>
      </c>
      <c r="M404" t="s">
        <v>4279</v>
      </c>
      <c r="N404">
        <v>1686.9</v>
      </c>
    </row>
    <row r="405" spans="1:14">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c r="A406" t="s">
        <v>418</v>
      </c>
      <c r="B406" s="2">
        <v>44994</v>
      </c>
      <c r="C406" t="s">
        <v>1618</v>
      </c>
      <c r="D406" t="s">
        <v>2403</v>
      </c>
      <c r="E406">
        <v>2</v>
      </c>
      <c r="F406">
        <v>99.1</v>
      </c>
      <c r="G406" t="s">
        <v>2473</v>
      </c>
      <c r="H406" t="s">
        <v>3069</v>
      </c>
      <c r="I406" t="s">
        <v>3073</v>
      </c>
      <c r="J406" t="s">
        <v>3479</v>
      </c>
      <c r="K406">
        <v>6</v>
      </c>
      <c r="L406" t="s">
        <v>4283</v>
      </c>
      <c r="M406" t="s">
        <v>4278</v>
      </c>
      <c r="N406">
        <v>198.2</v>
      </c>
    </row>
    <row r="407" spans="1:14">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c r="A412" t="s">
        <v>424</v>
      </c>
      <c r="B412" s="2">
        <v>45309</v>
      </c>
      <c r="C412" t="s">
        <v>1624</v>
      </c>
      <c r="D412" t="s">
        <v>2405</v>
      </c>
      <c r="E412">
        <v>2</v>
      </c>
      <c r="F412">
        <v>518.23</v>
      </c>
      <c r="G412" t="s">
        <v>2737</v>
      </c>
      <c r="H412" t="s">
        <v>3065</v>
      </c>
      <c r="I412" t="s">
        <v>3070</v>
      </c>
      <c r="J412" t="s">
        <v>3485</v>
      </c>
      <c r="K412">
        <v>5</v>
      </c>
      <c r="L412" t="s">
        <v>4283</v>
      </c>
      <c r="M412" t="s">
        <v>4280</v>
      </c>
      <c r="N412">
        <v>1036.46</v>
      </c>
    </row>
    <row r="413" spans="1:14">
      <c r="A413" t="s">
        <v>425</v>
      </c>
      <c r="B413" s="2">
        <v>45462</v>
      </c>
      <c r="C413" t="s">
        <v>1625</v>
      </c>
      <c r="D413" t="s">
        <v>2409</v>
      </c>
      <c r="E413">
        <v>2</v>
      </c>
      <c r="F413">
        <v>39.51</v>
      </c>
      <c r="G413" t="s">
        <v>2549</v>
      </c>
      <c r="H413" t="s">
        <v>3066</v>
      </c>
      <c r="I413" t="s">
        <v>3070</v>
      </c>
      <c r="J413" t="s">
        <v>3486</v>
      </c>
      <c r="K413">
        <v>5</v>
      </c>
      <c r="L413" t="s">
        <v>4283</v>
      </c>
      <c r="M413" t="s">
        <v>4281</v>
      </c>
      <c r="N413">
        <v>79.02</v>
      </c>
    </row>
    <row r="414" spans="1:14">
      <c r="A414" t="s">
        <v>426</v>
      </c>
      <c r="B414" s="2">
        <v>45758</v>
      </c>
      <c r="C414" t="s">
        <v>1626</v>
      </c>
      <c r="D414" t="s">
        <v>2405</v>
      </c>
      <c r="E414">
        <v>5</v>
      </c>
      <c r="F414">
        <v>133.01</v>
      </c>
      <c r="G414" t="s">
        <v>2738</v>
      </c>
      <c r="H414" t="s">
        <v>3067</v>
      </c>
      <c r="I414" t="s">
        <v>3072</v>
      </c>
      <c r="J414" t="s">
        <v>3487</v>
      </c>
      <c r="K414">
        <v>10</v>
      </c>
      <c r="L414" t="s">
        <v>4283</v>
      </c>
      <c r="M414" t="s">
        <v>4281</v>
      </c>
      <c r="N414">
        <v>665.05</v>
      </c>
    </row>
    <row r="415" spans="1:14">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t="s">
        <v>431</v>
      </c>
      <c r="B419" s="2">
        <v>45223</v>
      </c>
      <c r="C419" t="s">
        <v>1631</v>
      </c>
      <c r="D419" t="s">
        <v>2408</v>
      </c>
      <c r="E419">
        <v>5</v>
      </c>
      <c r="F419">
        <v>55.41</v>
      </c>
      <c r="G419" t="s">
        <v>2742</v>
      </c>
      <c r="H419" t="s">
        <v>3066</v>
      </c>
      <c r="I419" t="s">
        <v>3071</v>
      </c>
      <c r="J419" t="s">
        <v>3492</v>
      </c>
      <c r="K419">
        <v>5</v>
      </c>
      <c r="L419" t="s">
        <v>4283</v>
      </c>
      <c r="M419" t="s">
        <v>4282</v>
      </c>
      <c r="N419">
        <v>277.05</v>
      </c>
    </row>
    <row r="420" spans="1:14">
      <c r="A420" t="s">
        <v>432</v>
      </c>
      <c r="B420" s="2">
        <v>44937</v>
      </c>
      <c r="C420" t="s">
        <v>1632</v>
      </c>
      <c r="D420" t="s">
        <v>2407</v>
      </c>
      <c r="E420">
        <v>1</v>
      </c>
      <c r="F420">
        <v>310.93</v>
      </c>
      <c r="G420" t="s">
        <v>2743</v>
      </c>
      <c r="H420" t="s">
        <v>3066</v>
      </c>
      <c r="I420" t="s">
        <v>3071</v>
      </c>
      <c r="J420" t="s">
        <v>3493</v>
      </c>
      <c r="K420">
        <v>3</v>
      </c>
      <c r="L420" t="s">
        <v>4283</v>
      </c>
      <c r="M420" t="s">
        <v>4281</v>
      </c>
      <c r="N420">
        <v>310.93</v>
      </c>
    </row>
    <row r="421" spans="1:14">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c r="A423" t="s">
        <v>435</v>
      </c>
      <c r="B423" s="2">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c r="A426" t="s">
        <v>438</v>
      </c>
      <c r="B426" s="2">
        <v>45028</v>
      </c>
      <c r="C426" t="s">
        <v>1638</v>
      </c>
      <c r="D426" t="s">
        <v>2406</v>
      </c>
      <c r="E426">
        <v>5</v>
      </c>
      <c r="F426">
        <v>22.94</v>
      </c>
      <c r="G426" t="s">
        <v>2678</v>
      </c>
      <c r="H426" t="s">
        <v>3069</v>
      </c>
      <c r="I426" t="s">
        <v>3074</v>
      </c>
      <c r="J426" t="s">
        <v>3499</v>
      </c>
      <c r="K426">
        <v>10</v>
      </c>
      <c r="L426" t="s">
        <v>4283</v>
      </c>
      <c r="M426" t="s">
        <v>4280</v>
      </c>
      <c r="N426">
        <v>114.7</v>
      </c>
    </row>
    <row r="427" spans="1:14">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c r="A428" t="s">
        <v>440</v>
      </c>
      <c r="B428" s="2">
        <v>45732</v>
      </c>
      <c r="C428" t="s">
        <v>1640</v>
      </c>
      <c r="D428" t="s">
        <v>2403</v>
      </c>
      <c r="E428">
        <v>5</v>
      </c>
      <c r="F428">
        <v>57.45</v>
      </c>
      <c r="G428" t="s">
        <v>2747</v>
      </c>
      <c r="H428" t="s">
        <v>3069</v>
      </c>
      <c r="I428" t="s">
        <v>3071</v>
      </c>
      <c r="J428" t="s">
        <v>3501</v>
      </c>
      <c r="K428">
        <v>10</v>
      </c>
      <c r="L428" t="s">
        <v>4283</v>
      </c>
      <c r="M428" t="s">
        <v>4281</v>
      </c>
      <c r="N428">
        <v>287.25</v>
      </c>
    </row>
    <row r="429" spans="1:14">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c r="A434" t="s">
        <v>446</v>
      </c>
      <c r="B434" s="2">
        <v>45173</v>
      </c>
      <c r="C434" t="s">
        <v>1646</v>
      </c>
      <c r="D434" t="s">
        <v>2405</v>
      </c>
      <c r="E434">
        <v>2</v>
      </c>
      <c r="F434">
        <v>424.32</v>
      </c>
      <c r="G434" t="s">
        <v>2750</v>
      </c>
      <c r="H434" t="s">
        <v>3067</v>
      </c>
      <c r="I434" t="s">
        <v>3072</v>
      </c>
      <c r="J434" t="s">
        <v>3507</v>
      </c>
      <c r="K434">
        <v>6</v>
      </c>
      <c r="L434" t="s">
        <v>4283</v>
      </c>
      <c r="M434" t="s">
        <v>4279</v>
      </c>
      <c r="N434">
        <v>848.64</v>
      </c>
    </row>
    <row r="435" spans="1:14">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c r="A436" t="s">
        <v>448</v>
      </c>
      <c r="B436" s="2">
        <v>45221</v>
      </c>
      <c r="C436" t="s">
        <v>1648</v>
      </c>
      <c r="D436" t="s">
        <v>2407</v>
      </c>
      <c r="E436">
        <v>5</v>
      </c>
      <c r="F436">
        <v>327.68</v>
      </c>
      <c r="G436" t="s">
        <v>2475</v>
      </c>
      <c r="H436" t="s">
        <v>3067</v>
      </c>
      <c r="I436" t="s">
        <v>3072</v>
      </c>
      <c r="J436" t="s">
        <v>3509</v>
      </c>
      <c r="K436">
        <v>6</v>
      </c>
      <c r="L436" t="s">
        <v>4283</v>
      </c>
      <c r="M436" t="s">
        <v>4281</v>
      </c>
      <c r="N436">
        <v>1638.4</v>
      </c>
    </row>
    <row r="437" spans="1:14">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c r="A438" t="s">
        <v>450</v>
      </c>
      <c r="B438" s="2">
        <v>44968</v>
      </c>
      <c r="C438" t="s">
        <v>1650</v>
      </c>
      <c r="D438" t="s">
        <v>2408</v>
      </c>
      <c r="E438">
        <v>4</v>
      </c>
      <c r="F438">
        <v>221.33</v>
      </c>
      <c r="G438" t="s">
        <v>2553</v>
      </c>
      <c r="H438" t="s">
        <v>3066</v>
      </c>
      <c r="I438" t="s">
        <v>3074</v>
      </c>
      <c r="J438" t="s">
        <v>3511</v>
      </c>
      <c r="K438">
        <v>5</v>
      </c>
      <c r="L438" t="s">
        <v>4283</v>
      </c>
      <c r="M438" t="s">
        <v>4282</v>
      </c>
      <c r="N438">
        <v>885.32</v>
      </c>
    </row>
    <row r="439" spans="1:14">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c r="A445" t="s">
        <v>457</v>
      </c>
      <c r="B445" s="2">
        <v>45426</v>
      </c>
      <c r="C445" t="s">
        <v>1657</v>
      </c>
      <c r="D445" t="s">
        <v>2406</v>
      </c>
      <c r="E445">
        <v>2</v>
      </c>
      <c r="F445">
        <v>69.64</v>
      </c>
      <c r="G445" t="s">
        <v>2469</v>
      </c>
      <c r="H445" t="s">
        <v>3069</v>
      </c>
      <c r="I445" t="s">
        <v>3072</v>
      </c>
      <c r="J445" t="s">
        <v>3518</v>
      </c>
      <c r="K445">
        <v>6</v>
      </c>
      <c r="L445" t="s">
        <v>4283</v>
      </c>
      <c r="M445" t="s">
        <v>4281</v>
      </c>
      <c r="N445">
        <v>139.28</v>
      </c>
    </row>
    <row r="446" spans="1:14">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c r="A449" t="s">
        <v>461</v>
      </c>
      <c r="B449" s="2">
        <v>45389</v>
      </c>
      <c r="C449" t="s">
        <v>1661</v>
      </c>
      <c r="D449" t="s">
        <v>2407</v>
      </c>
      <c r="E449">
        <v>2</v>
      </c>
      <c r="F449">
        <v>416.81</v>
      </c>
      <c r="G449" t="s">
        <v>2759</v>
      </c>
      <c r="H449" t="s">
        <v>3069</v>
      </c>
      <c r="I449" t="s">
        <v>3072</v>
      </c>
      <c r="J449" t="s">
        <v>3522</v>
      </c>
      <c r="K449">
        <v>2</v>
      </c>
      <c r="L449" t="s">
        <v>4283</v>
      </c>
      <c r="M449" t="s">
        <v>4281</v>
      </c>
      <c r="N449">
        <v>833.62</v>
      </c>
    </row>
    <row r="450" spans="1:14">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c r="A451" t="s">
        <v>463</v>
      </c>
      <c r="B451" s="2">
        <v>45530</v>
      </c>
      <c r="C451" t="s">
        <v>1663</v>
      </c>
      <c r="D451" t="s">
        <v>2405</v>
      </c>
      <c r="E451">
        <v>3</v>
      </c>
      <c r="F451">
        <v>253.05</v>
      </c>
      <c r="G451" t="s">
        <v>2761</v>
      </c>
      <c r="H451" t="s">
        <v>3066</v>
      </c>
      <c r="I451" t="s">
        <v>3074</v>
      </c>
      <c r="J451" t="s">
        <v>3524</v>
      </c>
      <c r="K451">
        <v>3</v>
      </c>
      <c r="L451" t="s">
        <v>4283</v>
      </c>
      <c r="M451" t="s">
        <v>4278</v>
      </c>
      <c r="N451">
        <v>759.15000000000009</v>
      </c>
    </row>
    <row r="452" spans="1:14">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c r="A461" t="s">
        <v>473</v>
      </c>
      <c r="B461" s="2">
        <v>45497</v>
      </c>
      <c r="C461" t="s">
        <v>1673</v>
      </c>
      <c r="D461" t="s">
        <v>2409</v>
      </c>
      <c r="E461">
        <v>1</v>
      </c>
      <c r="F461">
        <v>334.39</v>
      </c>
      <c r="G461" t="s">
        <v>2749</v>
      </c>
      <c r="H461" t="s">
        <v>3067</v>
      </c>
      <c r="I461" t="s">
        <v>3072</v>
      </c>
      <c r="J461" t="s">
        <v>3534</v>
      </c>
      <c r="K461">
        <v>2</v>
      </c>
      <c r="L461" t="s">
        <v>4283</v>
      </c>
      <c r="M461" t="s">
        <v>4278</v>
      </c>
      <c r="N461">
        <v>334.39</v>
      </c>
    </row>
    <row r="462" spans="1:14">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c r="A464" t="s">
        <v>476</v>
      </c>
      <c r="B464" s="2">
        <v>45747</v>
      </c>
      <c r="C464" t="s">
        <v>1676</v>
      </c>
      <c r="D464" t="s">
        <v>2404</v>
      </c>
      <c r="E464">
        <v>1</v>
      </c>
      <c r="F464">
        <v>252.68</v>
      </c>
      <c r="G464" t="s">
        <v>2769</v>
      </c>
      <c r="H464" t="s">
        <v>3066</v>
      </c>
      <c r="I464" t="s">
        <v>3071</v>
      </c>
      <c r="J464" t="s">
        <v>3537</v>
      </c>
      <c r="K464">
        <v>1</v>
      </c>
      <c r="L464" t="s">
        <v>4283</v>
      </c>
      <c r="M464" t="s">
        <v>4279</v>
      </c>
      <c r="N464">
        <v>252.68</v>
      </c>
    </row>
    <row r="465" spans="1:14">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c r="A467" t="s">
        <v>479</v>
      </c>
      <c r="B467" s="2">
        <v>45348</v>
      </c>
      <c r="C467" t="s">
        <v>1679</v>
      </c>
      <c r="D467" t="s">
        <v>2407</v>
      </c>
      <c r="E467">
        <v>5</v>
      </c>
      <c r="F467">
        <v>513.49</v>
      </c>
      <c r="G467" t="s">
        <v>2772</v>
      </c>
      <c r="H467" t="s">
        <v>3068</v>
      </c>
      <c r="I467" t="s">
        <v>3071</v>
      </c>
      <c r="J467" t="s">
        <v>3540</v>
      </c>
      <c r="K467">
        <v>8</v>
      </c>
      <c r="L467" t="s">
        <v>4283</v>
      </c>
      <c r="M467" t="s">
        <v>4282</v>
      </c>
      <c r="N467">
        <v>2567.4499999999998</v>
      </c>
    </row>
    <row r="468" spans="1:14">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c r="A471" t="s">
        <v>483</v>
      </c>
      <c r="B471" s="2">
        <v>45256</v>
      </c>
      <c r="C471" t="s">
        <v>1683</v>
      </c>
      <c r="D471" t="s">
        <v>2406</v>
      </c>
      <c r="E471">
        <v>5</v>
      </c>
      <c r="F471">
        <v>676.98</v>
      </c>
      <c r="G471" t="s">
        <v>2546</v>
      </c>
      <c r="H471" t="s">
        <v>3069</v>
      </c>
      <c r="I471" t="s">
        <v>3071</v>
      </c>
      <c r="J471" t="s">
        <v>3544</v>
      </c>
      <c r="K471">
        <v>5</v>
      </c>
      <c r="L471" t="s">
        <v>4283</v>
      </c>
      <c r="M471" t="s">
        <v>4281</v>
      </c>
      <c r="N471">
        <v>3384.9</v>
      </c>
    </row>
    <row r="472" spans="1:14">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c r="A475" t="s">
        <v>487</v>
      </c>
      <c r="B475" s="2">
        <v>45713</v>
      </c>
      <c r="C475" t="s">
        <v>1687</v>
      </c>
      <c r="D475" t="s">
        <v>2406</v>
      </c>
      <c r="E475">
        <v>2</v>
      </c>
      <c r="F475">
        <v>14.93</v>
      </c>
      <c r="G475" t="s">
        <v>2777</v>
      </c>
      <c r="H475" t="s">
        <v>3066</v>
      </c>
      <c r="I475" t="s">
        <v>3070</v>
      </c>
      <c r="J475" t="s">
        <v>3548</v>
      </c>
      <c r="K475">
        <v>4</v>
      </c>
      <c r="L475" t="s">
        <v>4283</v>
      </c>
      <c r="M475" t="s">
        <v>4281</v>
      </c>
      <c r="N475">
        <v>29.86</v>
      </c>
    </row>
    <row r="476" spans="1:14">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c r="A481" t="s">
        <v>493</v>
      </c>
      <c r="B481" s="2">
        <v>44975</v>
      </c>
      <c r="C481" t="s">
        <v>1693</v>
      </c>
      <c r="D481" t="s">
        <v>2403</v>
      </c>
      <c r="E481">
        <v>4</v>
      </c>
      <c r="F481">
        <v>25.29</v>
      </c>
      <c r="G481" t="s">
        <v>2781</v>
      </c>
      <c r="H481" t="s">
        <v>3067</v>
      </c>
      <c r="I481" t="s">
        <v>3074</v>
      </c>
      <c r="J481" t="s">
        <v>3554</v>
      </c>
      <c r="K481">
        <v>8</v>
      </c>
      <c r="L481" t="s">
        <v>4283</v>
      </c>
      <c r="M481" t="s">
        <v>4282</v>
      </c>
      <c r="N481">
        <v>101.16</v>
      </c>
    </row>
    <row r="482" spans="1:14">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c r="A484" t="s">
        <v>496</v>
      </c>
      <c r="B484" s="2">
        <v>45718</v>
      </c>
      <c r="C484" t="s">
        <v>1696</v>
      </c>
      <c r="D484" t="s">
        <v>2403</v>
      </c>
      <c r="E484">
        <v>3</v>
      </c>
      <c r="F484">
        <v>381.41</v>
      </c>
      <c r="G484" t="s">
        <v>2487</v>
      </c>
      <c r="H484" t="s">
        <v>3066</v>
      </c>
      <c r="I484" t="s">
        <v>3074</v>
      </c>
      <c r="J484" t="s">
        <v>3557</v>
      </c>
      <c r="K484">
        <v>6</v>
      </c>
      <c r="L484" t="s">
        <v>4283</v>
      </c>
      <c r="M484" t="s">
        <v>4278</v>
      </c>
      <c r="N484">
        <v>1144.23</v>
      </c>
    </row>
    <row r="485" spans="1:14">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c r="A486" t="s">
        <v>498</v>
      </c>
      <c r="B486" s="2">
        <v>45441</v>
      </c>
      <c r="C486" t="s">
        <v>1698</v>
      </c>
      <c r="D486" t="s">
        <v>2406</v>
      </c>
      <c r="E486">
        <v>4</v>
      </c>
      <c r="F486">
        <v>15.01</v>
      </c>
      <c r="G486" t="s">
        <v>2736</v>
      </c>
      <c r="H486" t="s">
        <v>3069</v>
      </c>
      <c r="I486" t="s">
        <v>3071</v>
      </c>
      <c r="J486" t="s">
        <v>3559</v>
      </c>
      <c r="K486">
        <v>6</v>
      </c>
      <c r="L486" t="s">
        <v>4283</v>
      </c>
      <c r="M486" t="s">
        <v>4281</v>
      </c>
      <c r="N486">
        <v>60.04</v>
      </c>
    </row>
    <row r="487" spans="1:14">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c r="A492" t="s">
        <v>504</v>
      </c>
      <c r="B492" s="2">
        <v>45495</v>
      </c>
      <c r="C492" t="s">
        <v>1704</v>
      </c>
      <c r="D492" t="s">
        <v>2406</v>
      </c>
      <c r="E492">
        <v>5</v>
      </c>
      <c r="F492">
        <v>467.81</v>
      </c>
      <c r="G492" t="s">
        <v>2786</v>
      </c>
      <c r="H492" t="s">
        <v>3066</v>
      </c>
      <c r="I492" t="s">
        <v>3071</v>
      </c>
      <c r="J492" t="s">
        <v>3565</v>
      </c>
      <c r="K492">
        <v>10</v>
      </c>
      <c r="L492" t="s">
        <v>4283</v>
      </c>
      <c r="M492" t="s">
        <v>4281</v>
      </c>
      <c r="N492">
        <v>2339.0500000000002</v>
      </c>
    </row>
    <row r="493" spans="1:14">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c r="A499" t="s">
        <v>511</v>
      </c>
      <c r="B499" s="2">
        <v>45589</v>
      </c>
      <c r="C499" t="s">
        <v>1711</v>
      </c>
      <c r="D499" t="s">
        <v>2407</v>
      </c>
      <c r="E499">
        <v>3</v>
      </c>
      <c r="F499">
        <v>112.29</v>
      </c>
      <c r="G499" t="s">
        <v>2790</v>
      </c>
      <c r="H499" t="s">
        <v>3068</v>
      </c>
      <c r="I499" t="s">
        <v>3070</v>
      </c>
      <c r="J499" t="s">
        <v>3572</v>
      </c>
      <c r="K499">
        <v>6</v>
      </c>
      <c r="L499" t="s">
        <v>4283</v>
      </c>
      <c r="M499" t="s">
        <v>4282</v>
      </c>
      <c r="N499">
        <v>336.87</v>
      </c>
    </row>
    <row r="500" spans="1:14">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c r="A507" t="s">
        <v>519</v>
      </c>
      <c r="B507" s="2">
        <v>45088</v>
      </c>
      <c r="C507" t="s">
        <v>1719</v>
      </c>
      <c r="D507" t="s">
        <v>2407</v>
      </c>
      <c r="E507">
        <v>2</v>
      </c>
      <c r="F507">
        <v>434.97</v>
      </c>
      <c r="G507" t="s">
        <v>2727</v>
      </c>
      <c r="H507" t="s">
        <v>3066</v>
      </c>
      <c r="I507" t="s">
        <v>3070</v>
      </c>
      <c r="J507" t="s">
        <v>3580</v>
      </c>
      <c r="K507">
        <v>7</v>
      </c>
      <c r="L507" t="s">
        <v>4283</v>
      </c>
      <c r="M507" t="s">
        <v>4280</v>
      </c>
      <c r="N507">
        <v>869.94</v>
      </c>
    </row>
    <row r="508" spans="1:14">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c r="A510" t="s">
        <v>522</v>
      </c>
      <c r="B510" s="2">
        <v>45791</v>
      </c>
      <c r="C510" t="s">
        <v>1722</v>
      </c>
      <c r="D510" t="s">
        <v>2404</v>
      </c>
      <c r="E510">
        <v>1</v>
      </c>
      <c r="F510">
        <v>558.27</v>
      </c>
      <c r="G510" t="s">
        <v>2797</v>
      </c>
      <c r="H510" t="s">
        <v>3066</v>
      </c>
      <c r="I510" t="s">
        <v>3073</v>
      </c>
      <c r="J510" t="s">
        <v>3583</v>
      </c>
      <c r="K510">
        <v>1</v>
      </c>
      <c r="L510" t="s">
        <v>4283</v>
      </c>
      <c r="M510" t="s">
        <v>4279</v>
      </c>
      <c r="N510">
        <v>558.27</v>
      </c>
    </row>
    <row r="511" spans="1:14">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c r="A515" t="s">
        <v>527</v>
      </c>
      <c r="B515" s="2">
        <v>45697</v>
      </c>
      <c r="C515" t="s">
        <v>1727</v>
      </c>
      <c r="D515" t="s">
        <v>2405</v>
      </c>
      <c r="E515">
        <v>3</v>
      </c>
      <c r="F515">
        <v>94.88</v>
      </c>
      <c r="G515" t="s">
        <v>2501</v>
      </c>
      <c r="H515" t="s">
        <v>3068</v>
      </c>
      <c r="I515" t="s">
        <v>3070</v>
      </c>
      <c r="J515" t="s">
        <v>3588</v>
      </c>
      <c r="K515">
        <v>8</v>
      </c>
      <c r="L515" t="s">
        <v>4283</v>
      </c>
      <c r="M515" t="s">
        <v>4279</v>
      </c>
      <c r="N515">
        <v>284.64</v>
      </c>
    </row>
    <row r="516" spans="1:14">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c r="A518" t="s">
        <v>530</v>
      </c>
      <c r="B518" s="2">
        <v>45389</v>
      </c>
      <c r="C518" t="s">
        <v>1730</v>
      </c>
      <c r="D518" t="s">
        <v>2403</v>
      </c>
      <c r="E518">
        <v>3</v>
      </c>
      <c r="F518">
        <v>166.99</v>
      </c>
      <c r="G518" t="s">
        <v>2659</v>
      </c>
      <c r="H518" t="s">
        <v>3069</v>
      </c>
      <c r="I518" t="s">
        <v>3072</v>
      </c>
      <c r="J518" t="s">
        <v>3591</v>
      </c>
      <c r="K518">
        <v>8</v>
      </c>
      <c r="L518" t="s">
        <v>4283</v>
      </c>
      <c r="M518" t="s">
        <v>4281</v>
      </c>
      <c r="N518">
        <v>500.97</v>
      </c>
    </row>
    <row r="519" spans="1:14">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c r="A522" t="s">
        <v>534</v>
      </c>
      <c r="B522" s="2">
        <v>44995</v>
      </c>
      <c r="C522" t="s">
        <v>1734</v>
      </c>
      <c r="D522" t="s">
        <v>2403</v>
      </c>
      <c r="E522">
        <v>3</v>
      </c>
      <c r="F522">
        <v>635.98</v>
      </c>
      <c r="G522" t="s">
        <v>2801</v>
      </c>
      <c r="H522" t="s">
        <v>3069</v>
      </c>
      <c r="I522" t="s">
        <v>3072</v>
      </c>
      <c r="J522" t="s">
        <v>3595</v>
      </c>
      <c r="K522">
        <v>5</v>
      </c>
      <c r="L522" t="s">
        <v>4283</v>
      </c>
      <c r="M522" t="s">
        <v>4279</v>
      </c>
      <c r="N522">
        <v>1907.94</v>
      </c>
    </row>
    <row r="523" spans="1:14">
      <c r="A523" t="s">
        <v>535</v>
      </c>
      <c r="B523" s="2">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c r="A526" t="s">
        <v>538</v>
      </c>
      <c r="B526" s="2">
        <v>45224</v>
      </c>
      <c r="C526" t="s">
        <v>1738</v>
      </c>
      <c r="D526" t="s">
        <v>2404</v>
      </c>
      <c r="E526">
        <v>1</v>
      </c>
      <c r="F526">
        <v>153</v>
      </c>
      <c r="G526" t="s">
        <v>2483</v>
      </c>
      <c r="H526" t="s">
        <v>3067</v>
      </c>
      <c r="I526" t="s">
        <v>3072</v>
      </c>
      <c r="J526" t="s">
        <v>3599</v>
      </c>
      <c r="K526">
        <v>4</v>
      </c>
      <c r="L526" t="s">
        <v>4283</v>
      </c>
      <c r="M526" t="s">
        <v>4279</v>
      </c>
      <c r="N526">
        <v>153</v>
      </c>
    </row>
    <row r="527" spans="1:14">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c r="A532" t="s">
        <v>544</v>
      </c>
      <c r="B532" s="2">
        <v>45491</v>
      </c>
      <c r="C532" t="s">
        <v>1744</v>
      </c>
      <c r="D532" t="s">
        <v>2406</v>
      </c>
      <c r="E532">
        <v>4</v>
      </c>
      <c r="F532">
        <v>89.41</v>
      </c>
      <c r="G532" t="s">
        <v>2804</v>
      </c>
      <c r="H532" t="s">
        <v>3066</v>
      </c>
      <c r="I532" t="s">
        <v>3074</v>
      </c>
      <c r="J532" t="s">
        <v>3605</v>
      </c>
      <c r="K532">
        <v>9</v>
      </c>
      <c r="L532" t="s">
        <v>4283</v>
      </c>
      <c r="M532" t="s">
        <v>4282</v>
      </c>
      <c r="N532">
        <v>357.64</v>
      </c>
    </row>
    <row r="533" spans="1:14">
      <c r="A533" t="s">
        <v>545</v>
      </c>
      <c r="B533" s="2">
        <v>45475</v>
      </c>
      <c r="C533" t="s">
        <v>1745</v>
      </c>
      <c r="D533" t="s">
        <v>2409</v>
      </c>
      <c r="E533">
        <v>5</v>
      </c>
      <c r="F533">
        <v>320.01</v>
      </c>
      <c r="G533" t="s">
        <v>2805</v>
      </c>
      <c r="H533" t="s">
        <v>3068</v>
      </c>
      <c r="I533" t="s">
        <v>3073</v>
      </c>
      <c r="J533" t="s">
        <v>3606</v>
      </c>
      <c r="K533">
        <v>6</v>
      </c>
      <c r="L533" t="s">
        <v>4283</v>
      </c>
      <c r="M533" t="s">
        <v>4279</v>
      </c>
      <c r="N533">
        <v>1600.05</v>
      </c>
    </row>
    <row r="534" spans="1:14">
      <c r="A534" t="s">
        <v>546</v>
      </c>
      <c r="B534" s="2">
        <v>45780</v>
      </c>
      <c r="C534" t="s">
        <v>1746</v>
      </c>
      <c r="D534" t="s">
        <v>2408</v>
      </c>
      <c r="E534">
        <v>2</v>
      </c>
      <c r="F534">
        <v>41</v>
      </c>
      <c r="G534" t="s">
        <v>2806</v>
      </c>
      <c r="H534" t="s">
        <v>3066</v>
      </c>
      <c r="I534" t="s">
        <v>3073</v>
      </c>
      <c r="J534" t="s">
        <v>3607</v>
      </c>
      <c r="K534">
        <v>7</v>
      </c>
      <c r="L534" t="s">
        <v>4283</v>
      </c>
      <c r="M534" t="s">
        <v>4280</v>
      </c>
      <c r="N534">
        <v>82</v>
      </c>
    </row>
    <row r="535" spans="1:14">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c r="A538" t="s">
        <v>550</v>
      </c>
      <c r="B538" s="2">
        <v>45452</v>
      </c>
      <c r="C538" t="s">
        <v>1750</v>
      </c>
      <c r="D538" t="s">
        <v>2406</v>
      </c>
      <c r="E538">
        <v>1</v>
      </c>
      <c r="F538">
        <v>616.1</v>
      </c>
      <c r="G538" t="s">
        <v>2808</v>
      </c>
      <c r="H538" t="s">
        <v>3069</v>
      </c>
      <c r="I538" t="s">
        <v>3072</v>
      </c>
      <c r="J538" t="s">
        <v>3611</v>
      </c>
      <c r="K538">
        <v>6</v>
      </c>
      <c r="L538" t="s">
        <v>4283</v>
      </c>
      <c r="M538" t="s">
        <v>4280</v>
      </c>
      <c r="N538">
        <v>616.1</v>
      </c>
    </row>
    <row r="539" spans="1:14">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c r="A542" t="s">
        <v>554</v>
      </c>
      <c r="B542" s="2">
        <v>45320</v>
      </c>
      <c r="C542" t="s">
        <v>1754</v>
      </c>
      <c r="D542" t="s">
        <v>2408</v>
      </c>
      <c r="E542">
        <v>5</v>
      </c>
      <c r="F542">
        <v>648.65</v>
      </c>
      <c r="G542" t="s">
        <v>2811</v>
      </c>
      <c r="H542" t="s">
        <v>3066</v>
      </c>
      <c r="I542" t="s">
        <v>3074</v>
      </c>
      <c r="J542" t="s">
        <v>3615</v>
      </c>
      <c r="K542">
        <v>7</v>
      </c>
      <c r="L542" t="s">
        <v>4283</v>
      </c>
      <c r="M542" t="s">
        <v>4279</v>
      </c>
      <c r="N542">
        <v>3243.25</v>
      </c>
    </row>
    <row r="543" spans="1:14">
      <c r="A543" t="s">
        <v>555</v>
      </c>
      <c r="B543" s="2">
        <v>45145</v>
      </c>
      <c r="C543" t="s">
        <v>1755</v>
      </c>
      <c r="D543" t="s">
        <v>2407</v>
      </c>
      <c r="E543">
        <v>5</v>
      </c>
      <c r="F543">
        <v>456.06</v>
      </c>
      <c r="G543" t="s">
        <v>2812</v>
      </c>
      <c r="H543" t="s">
        <v>3069</v>
      </c>
      <c r="I543" t="s">
        <v>3074</v>
      </c>
      <c r="J543" t="s">
        <v>3616</v>
      </c>
      <c r="K543">
        <v>10</v>
      </c>
      <c r="L543" t="s">
        <v>4283</v>
      </c>
      <c r="M543" t="s">
        <v>4278</v>
      </c>
      <c r="N543">
        <v>2280.3000000000002</v>
      </c>
    </row>
    <row r="544" spans="1:14">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c r="A547" t="s">
        <v>559</v>
      </c>
      <c r="B547" s="2">
        <v>45279</v>
      </c>
      <c r="C547" t="s">
        <v>1759</v>
      </c>
      <c r="D547" t="s">
        <v>2403</v>
      </c>
      <c r="E547">
        <v>2</v>
      </c>
      <c r="F547">
        <v>98.47</v>
      </c>
      <c r="G547" t="s">
        <v>2813</v>
      </c>
      <c r="H547" t="s">
        <v>3069</v>
      </c>
      <c r="I547" t="s">
        <v>3072</v>
      </c>
      <c r="J547" t="s">
        <v>3620</v>
      </c>
      <c r="K547">
        <v>3</v>
      </c>
      <c r="L547" t="s">
        <v>4283</v>
      </c>
      <c r="M547" t="s">
        <v>4278</v>
      </c>
      <c r="N547">
        <v>196.94</v>
      </c>
    </row>
    <row r="548" spans="1:14">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c r="A557" t="s">
        <v>569</v>
      </c>
      <c r="B557" s="2">
        <v>44933</v>
      </c>
      <c r="C557" t="s">
        <v>1769</v>
      </c>
      <c r="D557" t="s">
        <v>2405</v>
      </c>
      <c r="E557">
        <v>1</v>
      </c>
      <c r="F557">
        <v>92.04</v>
      </c>
      <c r="G557" t="s">
        <v>2420</v>
      </c>
      <c r="H557" t="s">
        <v>3069</v>
      </c>
      <c r="I557" t="s">
        <v>3070</v>
      </c>
      <c r="J557" t="s">
        <v>3630</v>
      </c>
      <c r="K557">
        <v>2</v>
      </c>
      <c r="L557" t="s">
        <v>4283</v>
      </c>
      <c r="M557" t="s">
        <v>4281</v>
      </c>
      <c r="N557">
        <v>92.04</v>
      </c>
    </row>
    <row r="558" spans="1:14">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c r="A562" t="s">
        <v>574</v>
      </c>
      <c r="B562" s="2">
        <v>44957</v>
      </c>
      <c r="C562" t="s">
        <v>1774</v>
      </c>
      <c r="D562" t="s">
        <v>2403</v>
      </c>
      <c r="E562">
        <v>4</v>
      </c>
      <c r="F562">
        <v>588.85</v>
      </c>
      <c r="G562" t="s">
        <v>2820</v>
      </c>
      <c r="H562" t="s">
        <v>3068</v>
      </c>
      <c r="I562" t="s">
        <v>3074</v>
      </c>
      <c r="J562" t="s">
        <v>3635</v>
      </c>
      <c r="K562">
        <v>7</v>
      </c>
      <c r="L562" t="s">
        <v>4283</v>
      </c>
      <c r="M562" t="s">
        <v>4280</v>
      </c>
      <c r="N562">
        <v>2355.4</v>
      </c>
    </row>
    <row r="563" spans="1:14">
      <c r="A563" t="s">
        <v>575</v>
      </c>
      <c r="B563" s="2">
        <v>44957</v>
      </c>
      <c r="C563" t="s">
        <v>1775</v>
      </c>
      <c r="D563" t="s">
        <v>2407</v>
      </c>
      <c r="E563">
        <v>2</v>
      </c>
      <c r="F563">
        <v>494.78</v>
      </c>
      <c r="G563" t="s">
        <v>2821</v>
      </c>
      <c r="H563" t="s">
        <v>3066</v>
      </c>
      <c r="I563" t="s">
        <v>3070</v>
      </c>
      <c r="J563" t="s">
        <v>3636</v>
      </c>
      <c r="K563">
        <v>2</v>
      </c>
      <c r="L563" t="s">
        <v>4283</v>
      </c>
      <c r="M563" t="s">
        <v>4282</v>
      </c>
      <c r="N563">
        <v>989.56</v>
      </c>
    </row>
    <row r="564" spans="1:14">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c r="A567" t="s">
        <v>579</v>
      </c>
      <c r="B567" s="2">
        <v>45060</v>
      </c>
      <c r="C567" t="s">
        <v>1779</v>
      </c>
      <c r="D567" t="s">
        <v>2405</v>
      </c>
      <c r="E567">
        <v>5</v>
      </c>
      <c r="F567">
        <v>307.98</v>
      </c>
      <c r="G567" t="s">
        <v>2770</v>
      </c>
      <c r="H567" t="s">
        <v>3066</v>
      </c>
      <c r="I567" t="s">
        <v>3074</v>
      </c>
      <c r="J567" t="s">
        <v>3640</v>
      </c>
      <c r="K567">
        <v>10</v>
      </c>
      <c r="L567" t="s">
        <v>4283</v>
      </c>
      <c r="M567" t="s">
        <v>4281</v>
      </c>
      <c r="N567">
        <v>1539.9</v>
      </c>
    </row>
    <row r="568" spans="1:14">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c r="A570" t="s">
        <v>582</v>
      </c>
      <c r="B570" s="2">
        <v>44995</v>
      </c>
      <c r="C570" t="s">
        <v>1782</v>
      </c>
      <c r="D570" t="s">
        <v>2408</v>
      </c>
      <c r="E570">
        <v>2</v>
      </c>
      <c r="F570">
        <v>343.99</v>
      </c>
      <c r="G570" t="s">
        <v>2714</v>
      </c>
      <c r="H570" t="s">
        <v>3066</v>
      </c>
      <c r="I570" t="s">
        <v>3073</v>
      </c>
      <c r="J570" t="s">
        <v>3643</v>
      </c>
      <c r="K570">
        <v>4</v>
      </c>
      <c r="L570" t="s">
        <v>4283</v>
      </c>
      <c r="M570" t="s">
        <v>4282</v>
      </c>
      <c r="N570">
        <v>687.98</v>
      </c>
    </row>
    <row r="571" spans="1:14">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t="s">
        <v>587</v>
      </c>
      <c r="B575" s="2">
        <v>44951</v>
      </c>
      <c r="C575" t="s">
        <v>1787</v>
      </c>
      <c r="D575" t="s">
        <v>2406</v>
      </c>
      <c r="E575">
        <v>5</v>
      </c>
      <c r="F575">
        <v>421.42</v>
      </c>
      <c r="G575" t="s">
        <v>2511</v>
      </c>
      <c r="H575" t="s">
        <v>3065</v>
      </c>
      <c r="I575" t="s">
        <v>3071</v>
      </c>
      <c r="J575" t="s">
        <v>3648</v>
      </c>
      <c r="K575">
        <v>7</v>
      </c>
      <c r="L575" t="s">
        <v>4283</v>
      </c>
      <c r="M575" t="s">
        <v>4278</v>
      </c>
      <c r="N575">
        <v>2107.1</v>
      </c>
    </row>
    <row r="576" spans="1:14">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c r="A578" t="s">
        <v>590</v>
      </c>
      <c r="B578" s="2">
        <v>45441</v>
      </c>
      <c r="C578" t="s">
        <v>1790</v>
      </c>
      <c r="D578" t="s">
        <v>2408</v>
      </c>
      <c r="E578">
        <v>5</v>
      </c>
      <c r="F578">
        <v>79.08</v>
      </c>
      <c r="G578" t="s">
        <v>2710</v>
      </c>
      <c r="H578" t="s">
        <v>3069</v>
      </c>
      <c r="I578" t="s">
        <v>3074</v>
      </c>
      <c r="J578" t="s">
        <v>3651</v>
      </c>
      <c r="K578">
        <v>8</v>
      </c>
      <c r="L578" t="s">
        <v>4283</v>
      </c>
      <c r="M578" t="s">
        <v>4281</v>
      </c>
      <c r="N578">
        <v>395.4</v>
      </c>
    </row>
    <row r="579" spans="1:14">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c r="A583" t="s">
        <v>595</v>
      </c>
      <c r="B583" s="2">
        <v>45607</v>
      </c>
      <c r="C583" t="s">
        <v>1795</v>
      </c>
      <c r="D583" t="s">
        <v>2408</v>
      </c>
      <c r="E583">
        <v>1</v>
      </c>
      <c r="F583">
        <v>627.34</v>
      </c>
      <c r="G583" t="s">
        <v>2425</v>
      </c>
      <c r="H583" t="s">
        <v>3066</v>
      </c>
      <c r="I583" t="s">
        <v>3073</v>
      </c>
      <c r="J583" t="s">
        <v>3656</v>
      </c>
      <c r="K583">
        <v>1</v>
      </c>
      <c r="L583" t="s">
        <v>4283</v>
      </c>
      <c r="M583" t="s">
        <v>4279</v>
      </c>
      <c r="N583">
        <v>627.34</v>
      </c>
    </row>
    <row r="584" spans="1:14">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c r="A585" t="s">
        <v>597</v>
      </c>
      <c r="B585" s="2">
        <v>45823</v>
      </c>
      <c r="C585" t="s">
        <v>1797</v>
      </c>
      <c r="D585" t="s">
        <v>2406</v>
      </c>
      <c r="E585">
        <v>3</v>
      </c>
      <c r="F585">
        <v>154.37</v>
      </c>
      <c r="G585" t="s">
        <v>2441</v>
      </c>
      <c r="H585" t="s">
        <v>3068</v>
      </c>
      <c r="I585" t="s">
        <v>3073</v>
      </c>
      <c r="J585" t="s">
        <v>3658</v>
      </c>
      <c r="K585">
        <v>4</v>
      </c>
      <c r="L585" t="s">
        <v>4283</v>
      </c>
      <c r="M585" t="s">
        <v>4278</v>
      </c>
      <c r="N585">
        <v>463.11</v>
      </c>
    </row>
    <row r="586" spans="1:14">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c r="A590" t="s">
        <v>602</v>
      </c>
      <c r="B590" s="2">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c r="A592" t="s">
        <v>604</v>
      </c>
      <c r="B592" s="2">
        <v>45179</v>
      </c>
      <c r="C592" t="s">
        <v>1804</v>
      </c>
      <c r="D592" t="s">
        <v>2407</v>
      </c>
      <c r="E592">
        <v>2</v>
      </c>
      <c r="F592">
        <v>461.13</v>
      </c>
      <c r="G592" t="s">
        <v>2831</v>
      </c>
      <c r="H592" t="s">
        <v>3068</v>
      </c>
      <c r="I592" t="s">
        <v>3072</v>
      </c>
      <c r="J592" t="s">
        <v>3665</v>
      </c>
      <c r="K592">
        <v>4</v>
      </c>
      <c r="L592" t="s">
        <v>4283</v>
      </c>
      <c r="M592" t="s">
        <v>4280</v>
      </c>
      <c r="N592">
        <v>922.26</v>
      </c>
    </row>
    <row r="593" spans="1:14">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c r="A594" t="s">
        <v>606</v>
      </c>
      <c r="B594" s="2">
        <v>45405</v>
      </c>
      <c r="C594" t="s">
        <v>1806</v>
      </c>
      <c r="D594" t="s">
        <v>2404</v>
      </c>
      <c r="E594">
        <v>3</v>
      </c>
      <c r="F594">
        <v>204.27</v>
      </c>
      <c r="G594" t="s">
        <v>2803</v>
      </c>
      <c r="H594" t="s">
        <v>3066</v>
      </c>
      <c r="I594" t="s">
        <v>3072</v>
      </c>
      <c r="J594" t="s">
        <v>3667</v>
      </c>
      <c r="K594">
        <v>4</v>
      </c>
      <c r="L594" t="s">
        <v>4283</v>
      </c>
      <c r="M594" t="s">
        <v>4282</v>
      </c>
      <c r="N594">
        <v>612.81000000000006</v>
      </c>
    </row>
    <row r="595" spans="1:14">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c r="A596" t="s">
        <v>608</v>
      </c>
      <c r="B596" s="2">
        <v>45343</v>
      </c>
      <c r="C596" t="s">
        <v>1808</v>
      </c>
      <c r="D596" t="s">
        <v>2404</v>
      </c>
      <c r="E596">
        <v>5</v>
      </c>
      <c r="F596">
        <v>72.64</v>
      </c>
      <c r="G596" t="s">
        <v>2538</v>
      </c>
      <c r="H596" t="s">
        <v>3067</v>
      </c>
      <c r="I596" t="s">
        <v>3071</v>
      </c>
      <c r="J596" t="s">
        <v>3669</v>
      </c>
      <c r="K596">
        <v>7</v>
      </c>
      <c r="L596" t="s">
        <v>4283</v>
      </c>
      <c r="M596" t="s">
        <v>4280</v>
      </c>
      <c r="N596">
        <v>363.2</v>
      </c>
    </row>
    <row r="597" spans="1:14">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c r="A600" t="s">
        <v>612</v>
      </c>
      <c r="B600" s="2">
        <v>45408</v>
      </c>
      <c r="C600" t="s">
        <v>1812</v>
      </c>
      <c r="D600" t="s">
        <v>2409</v>
      </c>
      <c r="E600">
        <v>5</v>
      </c>
      <c r="F600">
        <v>495.35</v>
      </c>
      <c r="G600" t="s">
        <v>2693</v>
      </c>
      <c r="H600" t="s">
        <v>3067</v>
      </c>
      <c r="I600" t="s">
        <v>3074</v>
      </c>
      <c r="J600" t="s">
        <v>3673</v>
      </c>
      <c r="K600">
        <v>5</v>
      </c>
      <c r="L600" t="s">
        <v>4283</v>
      </c>
      <c r="M600" t="s">
        <v>4281</v>
      </c>
      <c r="N600">
        <v>2476.75</v>
      </c>
    </row>
    <row r="601" spans="1:14">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c r="A603" t="s">
        <v>615</v>
      </c>
      <c r="B603" s="2">
        <v>45201</v>
      </c>
      <c r="C603" t="s">
        <v>1815</v>
      </c>
      <c r="D603" t="s">
        <v>2403</v>
      </c>
      <c r="E603">
        <v>5</v>
      </c>
      <c r="F603">
        <v>24.82</v>
      </c>
      <c r="G603" t="s">
        <v>2836</v>
      </c>
      <c r="H603" t="s">
        <v>3067</v>
      </c>
      <c r="I603" t="s">
        <v>3070</v>
      </c>
      <c r="J603" t="s">
        <v>3676</v>
      </c>
      <c r="K603">
        <v>10</v>
      </c>
      <c r="L603" t="s">
        <v>4283</v>
      </c>
      <c r="M603" t="s">
        <v>4279</v>
      </c>
      <c r="N603">
        <v>124.1</v>
      </c>
    </row>
    <row r="604" spans="1:14">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c r="A606" t="s">
        <v>618</v>
      </c>
      <c r="B606" s="2">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c r="A614" t="s">
        <v>626</v>
      </c>
      <c r="B614" s="2">
        <v>45079</v>
      </c>
      <c r="C614" t="s">
        <v>1825</v>
      </c>
      <c r="D614" t="s">
        <v>2406</v>
      </c>
      <c r="E614">
        <v>3</v>
      </c>
      <c r="F614">
        <v>445.12</v>
      </c>
      <c r="G614" t="s">
        <v>2678</v>
      </c>
      <c r="H614" t="s">
        <v>3068</v>
      </c>
      <c r="I614" t="s">
        <v>3071</v>
      </c>
      <c r="J614" t="s">
        <v>3687</v>
      </c>
      <c r="K614">
        <v>8</v>
      </c>
      <c r="L614" t="s">
        <v>4283</v>
      </c>
      <c r="M614" t="s">
        <v>4282</v>
      </c>
      <c r="N614">
        <v>1335.36</v>
      </c>
    </row>
    <row r="615" spans="1:14">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c r="A616" t="s">
        <v>628</v>
      </c>
      <c r="B616" s="2">
        <v>45359</v>
      </c>
      <c r="C616" t="s">
        <v>1827</v>
      </c>
      <c r="D616" t="s">
        <v>2404</v>
      </c>
      <c r="E616">
        <v>1</v>
      </c>
      <c r="F616">
        <v>96.81</v>
      </c>
      <c r="G616" t="s">
        <v>2521</v>
      </c>
      <c r="H616" t="s">
        <v>3068</v>
      </c>
      <c r="I616" t="s">
        <v>3071</v>
      </c>
      <c r="J616" t="s">
        <v>3689</v>
      </c>
      <c r="K616">
        <v>3</v>
      </c>
      <c r="L616" t="s">
        <v>4283</v>
      </c>
      <c r="M616" t="s">
        <v>4279</v>
      </c>
      <c r="N616">
        <v>96.81</v>
      </c>
    </row>
    <row r="617" spans="1:14">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c r="A619" t="s">
        <v>631</v>
      </c>
      <c r="B619" s="2">
        <v>45330</v>
      </c>
      <c r="C619" t="s">
        <v>1830</v>
      </c>
      <c r="D619" t="s">
        <v>2405</v>
      </c>
      <c r="E619">
        <v>3</v>
      </c>
      <c r="F619">
        <v>184.47</v>
      </c>
      <c r="G619" t="s">
        <v>2844</v>
      </c>
      <c r="H619" t="s">
        <v>3066</v>
      </c>
      <c r="I619" t="s">
        <v>3071</v>
      </c>
      <c r="J619" t="s">
        <v>3692</v>
      </c>
      <c r="K619">
        <v>4</v>
      </c>
      <c r="L619" t="s">
        <v>4283</v>
      </c>
      <c r="M619" t="s">
        <v>4279</v>
      </c>
      <c r="N619">
        <v>553.41</v>
      </c>
    </row>
    <row r="620" spans="1:14">
      <c r="A620" t="s">
        <v>632</v>
      </c>
      <c r="B620" s="2">
        <v>45538</v>
      </c>
      <c r="C620" t="s">
        <v>1831</v>
      </c>
      <c r="D620" t="s">
        <v>2405</v>
      </c>
      <c r="E620">
        <v>1</v>
      </c>
      <c r="F620">
        <v>411.34</v>
      </c>
      <c r="G620" t="s">
        <v>2845</v>
      </c>
      <c r="H620" t="s">
        <v>3065</v>
      </c>
      <c r="I620" t="s">
        <v>3072</v>
      </c>
      <c r="J620" t="s">
        <v>3693</v>
      </c>
      <c r="K620">
        <v>5</v>
      </c>
      <c r="L620" t="s">
        <v>4283</v>
      </c>
      <c r="M620" t="s">
        <v>4278</v>
      </c>
      <c r="N620">
        <v>411.34</v>
      </c>
    </row>
    <row r="621" spans="1:14">
      <c r="A621" t="s">
        <v>633</v>
      </c>
      <c r="B621" s="2">
        <v>45489</v>
      </c>
      <c r="C621" t="s">
        <v>1832</v>
      </c>
      <c r="D621" t="s">
        <v>2408</v>
      </c>
      <c r="E621">
        <v>1</v>
      </c>
      <c r="F621">
        <v>532.89</v>
      </c>
      <c r="G621" t="s">
        <v>2783</v>
      </c>
      <c r="H621" t="s">
        <v>3068</v>
      </c>
      <c r="I621" t="s">
        <v>3074</v>
      </c>
      <c r="J621" t="s">
        <v>3694</v>
      </c>
      <c r="K621">
        <v>2</v>
      </c>
      <c r="L621" t="s">
        <v>4283</v>
      </c>
      <c r="M621" t="s">
        <v>4279</v>
      </c>
      <c r="N621">
        <v>532.89</v>
      </c>
    </row>
    <row r="622" spans="1:14">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c r="A624" t="s">
        <v>636</v>
      </c>
      <c r="B624" s="2">
        <v>45598</v>
      </c>
      <c r="C624" t="s">
        <v>1835</v>
      </c>
      <c r="D624" t="s">
        <v>2409</v>
      </c>
      <c r="E624">
        <v>5</v>
      </c>
      <c r="F624">
        <v>236.38</v>
      </c>
      <c r="G624" t="s">
        <v>2445</v>
      </c>
      <c r="H624" t="s">
        <v>3067</v>
      </c>
      <c r="I624" t="s">
        <v>3072</v>
      </c>
      <c r="J624" t="s">
        <v>3697</v>
      </c>
      <c r="K624">
        <v>7</v>
      </c>
      <c r="L624" t="s">
        <v>4283</v>
      </c>
      <c r="M624" t="s">
        <v>4281</v>
      </c>
      <c r="N624">
        <v>1181.9000000000001</v>
      </c>
    </row>
    <row r="625" spans="1:14">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c r="A626" t="s">
        <v>638</v>
      </c>
      <c r="B626" s="2">
        <v>45307</v>
      </c>
      <c r="C626" t="s">
        <v>1837</v>
      </c>
      <c r="D626" t="s">
        <v>2405</v>
      </c>
      <c r="E626">
        <v>5</v>
      </c>
      <c r="F626">
        <v>341.96</v>
      </c>
      <c r="G626" t="s">
        <v>2710</v>
      </c>
      <c r="H626" t="s">
        <v>3065</v>
      </c>
      <c r="I626" t="s">
        <v>3073</v>
      </c>
      <c r="J626" t="s">
        <v>3699</v>
      </c>
      <c r="K626">
        <v>6</v>
      </c>
      <c r="L626" t="s">
        <v>4283</v>
      </c>
      <c r="M626" t="s">
        <v>4280</v>
      </c>
      <c r="N626">
        <v>1709.8</v>
      </c>
    </row>
    <row r="627" spans="1:14">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c r="A631" t="s">
        <v>643</v>
      </c>
      <c r="B631" s="2">
        <v>45114</v>
      </c>
      <c r="C631" t="s">
        <v>1842</v>
      </c>
      <c r="D631" t="s">
        <v>2404</v>
      </c>
      <c r="E631">
        <v>3</v>
      </c>
      <c r="F631">
        <v>19.73</v>
      </c>
      <c r="G631" t="s">
        <v>2850</v>
      </c>
      <c r="H631" t="s">
        <v>3066</v>
      </c>
      <c r="I631" t="s">
        <v>3074</v>
      </c>
      <c r="J631" t="s">
        <v>3704</v>
      </c>
      <c r="K631">
        <v>3</v>
      </c>
      <c r="L631" t="s">
        <v>4283</v>
      </c>
      <c r="M631" t="s">
        <v>4279</v>
      </c>
      <c r="N631">
        <v>59.19</v>
      </c>
    </row>
    <row r="632" spans="1:14">
      <c r="A632" t="s">
        <v>644</v>
      </c>
      <c r="B632" s="2">
        <v>45100</v>
      </c>
      <c r="C632" t="s">
        <v>1843</v>
      </c>
      <c r="D632" t="s">
        <v>2403</v>
      </c>
      <c r="E632">
        <v>5</v>
      </c>
      <c r="F632">
        <v>248.84</v>
      </c>
      <c r="G632" t="s">
        <v>2851</v>
      </c>
      <c r="H632" t="s">
        <v>3065</v>
      </c>
      <c r="I632" t="s">
        <v>3071</v>
      </c>
      <c r="J632" t="s">
        <v>3705</v>
      </c>
      <c r="K632">
        <v>10</v>
      </c>
      <c r="L632" t="s">
        <v>4283</v>
      </c>
      <c r="M632" t="s">
        <v>4278</v>
      </c>
      <c r="N632">
        <v>1244.2</v>
      </c>
    </row>
    <row r="633" spans="1:14">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c r="A637" t="s">
        <v>649</v>
      </c>
      <c r="B637" s="2">
        <v>45273</v>
      </c>
      <c r="C637" t="s">
        <v>1848</v>
      </c>
      <c r="D637" t="s">
        <v>2406</v>
      </c>
      <c r="E637">
        <v>3</v>
      </c>
      <c r="F637">
        <v>63.68</v>
      </c>
      <c r="G637" t="s">
        <v>2458</v>
      </c>
      <c r="H637" t="s">
        <v>3069</v>
      </c>
      <c r="I637" t="s">
        <v>3072</v>
      </c>
      <c r="J637" t="s">
        <v>3710</v>
      </c>
      <c r="K637">
        <v>6</v>
      </c>
      <c r="L637" t="s">
        <v>4283</v>
      </c>
      <c r="M637" t="s">
        <v>4281</v>
      </c>
      <c r="N637">
        <v>191.04</v>
      </c>
    </row>
    <row r="638" spans="1:14">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c r="A641" t="s">
        <v>653</v>
      </c>
      <c r="B641" s="2">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c r="A653" t="s">
        <v>665</v>
      </c>
      <c r="B653" s="2">
        <v>45608</v>
      </c>
      <c r="C653" t="s">
        <v>1864</v>
      </c>
      <c r="D653" t="s">
        <v>2406</v>
      </c>
      <c r="E653">
        <v>3</v>
      </c>
      <c r="F653">
        <v>646.34</v>
      </c>
      <c r="G653" t="s">
        <v>2584</v>
      </c>
      <c r="H653" t="s">
        <v>3065</v>
      </c>
      <c r="I653" t="s">
        <v>3074</v>
      </c>
      <c r="J653" t="s">
        <v>3726</v>
      </c>
      <c r="K653">
        <v>5</v>
      </c>
      <c r="L653" t="s">
        <v>4283</v>
      </c>
      <c r="M653" t="s">
        <v>4282</v>
      </c>
      <c r="N653">
        <v>1939.02</v>
      </c>
    </row>
    <row r="654" spans="1:14">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c r="A656" t="s">
        <v>668</v>
      </c>
      <c r="B656" s="2">
        <v>45089</v>
      </c>
      <c r="C656" t="s">
        <v>1867</v>
      </c>
      <c r="D656" t="s">
        <v>2405</v>
      </c>
      <c r="E656">
        <v>3</v>
      </c>
      <c r="F656">
        <v>382.37</v>
      </c>
      <c r="G656" t="s">
        <v>2861</v>
      </c>
      <c r="H656" t="s">
        <v>3065</v>
      </c>
      <c r="I656" t="s">
        <v>3072</v>
      </c>
      <c r="J656" t="s">
        <v>3729</v>
      </c>
      <c r="K656">
        <v>8</v>
      </c>
      <c r="L656" t="s">
        <v>4283</v>
      </c>
      <c r="M656" t="s">
        <v>4278</v>
      </c>
      <c r="N656">
        <v>1147.1099999999999</v>
      </c>
    </row>
    <row r="657" spans="1:14">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c r="A664" t="s">
        <v>676</v>
      </c>
      <c r="B664" s="2">
        <v>44954</v>
      </c>
      <c r="C664" t="s">
        <v>1875</v>
      </c>
      <c r="D664" t="s">
        <v>2408</v>
      </c>
      <c r="E664">
        <v>3</v>
      </c>
      <c r="F664">
        <v>438.89</v>
      </c>
      <c r="G664" t="s">
        <v>2864</v>
      </c>
      <c r="H664" t="s">
        <v>3069</v>
      </c>
      <c r="I664" t="s">
        <v>3072</v>
      </c>
      <c r="J664" t="s">
        <v>3737</v>
      </c>
      <c r="K664">
        <v>3</v>
      </c>
      <c r="L664" t="s">
        <v>4283</v>
      </c>
      <c r="M664" t="s">
        <v>4281</v>
      </c>
      <c r="N664">
        <v>1316.67</v>
      </c>
    </row>
    <row r="665" spans="1:14">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t="s">
        <v>678</v>
      </c>
      <c r="B666" s="2">
        <v>45645</v>
      </c>
      <c r="C666" t="s">
        <v>1450</v>
      </c>
      <c r="D666" t="s">
        <v>2408</v>
      </c>
      <c r="E666">
        <v>4</v>
      </c>
      <c r="F666">
        <v>194.75</v>
      </c>
      <c r="G666" t="s">
        <v>2865</v>
      </c>
      <c r="H666" t="s">
        <v>3069</v>
      </c>
      <c r="I666" t="s">
        <v>3070</v>
      </c>
      <c r="J666" t="s">
        <v>3739</v>
      </c>
      <c r="K666">
        <v>5</v>
      </c>
      <c r="L666" t="s">
        <v>4283</v>
      </c>
      <c r="M666" t="s">
        <v>4281</v>
      </c>
      <c r="N666">
        <v>779</v>
      </c>
    </row>
    <row r="667" spans="1:14">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c r="A668" t="s">
        <v>680</v>
      </c>
      <c r="B668" s="2">
        <v>45535</v>
      </c>
      <c r="C668" t="s">
        <v>1878</v>
      </c>
      <c r="D668" t="s">
        <v>2403</v>
      </c>
      <c r="E668">
        <v>4</v>
      </c>
      <c r="F668">
        <v>327.12</v>
      </c>
      <c r="G668" t="s">
        <v>2840</v>
      </c>
      <c r="H668" t="s">
        <v>3067</v>
      </c>
      <c r="I668" t="s">
        <v>3071</v>
      </c>
      <c r="J668" t="s">
        <v>3741</v>
      </c>
      <c r="K668">
        <v>4</v>
      </c>
      <c r="L668" t="s">
        <v>4283</v>
      </c>
      <c r="M668" t="s">
        <v>4280</v>
      </c>
      <c r="N668">
        <v>1308.48</v>
      </c>
    </row>
    <row r="669" spans="1:14">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c r="A671" t="s">
        <v>683</v>
      </c>
      <c r="B671" s="2">
        <v>44962</v>
      </c>
      <c r="C671" t="s">
        <v>1881</v>
      </c>
      <c r="D671" t="s">
        <v>2409</v>
      </c>
      <c r="E671">
        <v>1</v>
      </c>
      <c r="F671">
        <v>257</v>
      </c>
      <c r="G671" t="s">
        <v>2867</v>
      </c>
      <c r="H671" t="s">
        <v>3065</v>
      </c>
      <c r="I671" t="s">
        <v>3071</v>
      </c>
      <c r="J671" t="s">
        <v>3744</v>
      </c>
      <c r="K671">
        <v>5</v>
      </c>
      <c r="L671" t="s">
        <v>4283</v>
      </c>
      <c r="M671" t="s">
        <v>4279</v>
      </c>
      <c r="N671">
        <v>257</v>
      </c>
    </row>
    <row r="672" spans="1:14">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c r="A677" t="s">
        <v>689</v>
      </c>
      <c r="B677" s="2">
        <v>45510</v>
      </c>
      <c r="C677" t="s">
        <v>1887</v>
      </c>
      <c r="D677" t="s">
        <v>2409</v>
      </c>
      <c r="E677">
        <v>3</v>
      </c>
      <c r="F677">
        <v>342.02</v>
      </c>
      <c r="G677" t="s">
        <v>2807</v>
      </c>
      <c r="H677" t="s">
        <v>3065</v>
      </c>
      <c r="I677" t="s">
        <v>3074</v>
      </c>
      <c r="J677" t="s">
        <v>3750</v>
      </c>
      <c r="K677">
        <v>5</v>
      </c>
      <c r="L677" t="s">
        <v>4283</v>
      </c>
      <c r="M677" t="s">
        <v>4280</v>
      </c>
      <c r="N677">
        <v>1026.06</v>
      </c>
    </row>
    <row r="678" spans="1:14">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c r="A682" t="s">
        <v>694</v>
      </c>
      <c r="B682" s="2">
        <v>45165</v>
      </c>
      <c r="C682" t="s">
        <v>1892</v>
      </c>
      <c r="D682" t="s">
        <v>2403</v>
      </c>
      <c r="E682">
        <v>3</v>
      </c>
      <c r="F682">
        <v>463.39</v>
      </c>
      <c r="G682" t="s">
        <v>2869</v>
      </c>
      <c r="H682" t="s">
        <v>3067</v>
      </c>
      <c r="I682" t="s">
        <v>3072</v>
      </c>
      <c r="J682" t="s">
        <v>3755</v>
      </c>
      <c r="K682">
        <v>3</v>
      </c>
      <c r="L682" t="s">
        <v>4283</v>
      </c>
      <c r="M682" t="s">
        <v>4281</v>
      </c>
      <c r="N682">
        <v>1390.17</v>
      </c>
    </row>
    <row r="683" spans="1:14">
      <c r="A683" t="s">
        <v>695</v>
      </c>
      <c r="B683" s="2">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c r="A686" t="s">
        <v>698</v>
      </c>
      <c r="B686" s="2">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c r="A691" t="s">
        <v>703</v>
      </c>
      <c r="B691" s="2">
        <v>45167</v>
      </c>
      <c r="C691" t="s">
        <v>1901</v>
      </c>
      <c r="D691" t="s">
        <v>2405</v>
      </c>
      <c r="E691">
        <v>2</v>
      </c>
      <c r="F691">
        <v>444.84</v>
      </c>
      <c r="G691" t="s">
        <v>2876</v>
      </c>
      <c r="H691" t="s">
        <v>3066</v>
      </c>
      <c r="I691" t="s">
        <v>3070</v>
      </c>
      <c r="J691" t="s">
        <v>3764</v>
      </c>
      <c r="K691">
        <v>7</v>
      </c>
      <c r="L691" t="s">
        <v>4283</v>
      </c>
      <c r="M691" t="s">
        <v>4281</v>
      </c>
      <c r="N691">
        <v>889.68</v>
      </c>
    </row>
    <row r="692" spans="1:14">
      <c r="A692" t="s">
        <v>704</v>
      </c>
      <c r="B692" s="2">
        <v>45485</v>
      </c>
      <c r="C692" t="s">
        <v>1902</v>
      </c>
      <c r="D692" t="s">
        <v>2403</v>
      </c>
      <c r="E692">
        <v>1</v>
      </c>
      <c r="F692">
        <v>24.48</v>
      </c>
      <c r="G692" t="s">
        <v>2445</v>
      </c>
      <c r="H692" t="s">
        <v>3068</v>
      </c>
      <c r="I692" t="s">
        <v>3072</v>
      </c>
      <c r="J692" t="s">
        <v>3765</v>
      </c>
      <c r="K692">
        <v>1</v>
      </c>
      <c r="L692" t="s">
        <v>4283</v>
      </c>
      <c r="M692" t="s">
        <v>4278</v>
      </c>
      <c r="N692">
        <v>24.48</v>
      </c>
    </row>
    <row r="693" spans="1:14">
      <c r="A693" t="s">
        <v>705</v>
      </c>
      <c r="B693" s="2">
        <v>45620</v>
      </c>
      <c r="C693" t="s">
        <v>1903</v>
      </c>
      <c r="D693" t="s">
        <v>2408</v>
      </c>
      <c r="E693">
        <v>3</v>
      </c>
      <c r="F693">
        <v>239.08</v>
      </c>
      <c r="G693" t="s">
        <v>2877</v>
      </c>
      <c r="H693" t="s">
        <v>3069</v>
      </c>
      <c r="I693" t="s">
        <v>3070</v>
      </c>
      <c r="J693" t="s">
        <v>3766</v>
      </c>
      <c r="K693">
        <v>8</v>
      </c>
      <c r="L693" t="s">
        <v>4283</v>
      </c>
      <c r="M693" t="s">
        <v>4282</v>
      </c>
      <c r="N693">
        <v>717.24</v>
      </c>
    </row>
    <row r="694" spans="1:14">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c r="A695" t="s">
        <v>707</v>
      </c>
      <c r="B695" s="2">
        <v>45728</v>
      </c>
      <c r="C695" t="s">
        <v>1905</v>
      </c>
      <c r="D695" t="s">
        <v>2403</v>
      </c>
      <c r="E695">
        <v>1</v>
      </c>
      <c r="F695">
        <v>176.58</v>
      </c>
      <c r="G695" t="s">
        <v>2878</v>
      </c>
      <c r="H695" t="s">
        <v>3065</v>
      </c>
      <c r="I695" t="s">
        <v>3072</v>
      </c>
      <c r="J695" t="s">
        <v>3768</v>
      </c>
      <c r="K695">
        <v>4</v>
      </c>
      <c r="L695" t="s">
        <v>4283</v>
      </c>
      <c r="M695" t="s">
        <v>4279</v>
      </c>
      <c r="N695">
        <v>176.58</v>
      </c>
    </row>
    <row r="696" spans="1:14">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c r="A701" t="s">
        <v>713</v>
      </c>
      <c r="B701" s="2">
        <v>45243</v>
      </c>
      <c r="C701" t="s">
        <v>1911</v>
      </c>
      <c r="D701" t="s">
        <v>2408</v>
      </c>
      <c r="E701">
        <v>3</v>
      </c>
      <c r="F701">
        <v>614.15</v>
      </c>
      <c r="G701" t="s">
        <v>2880</v>
      </c>
      <c r="H701" t="s">
        <v>3068</v>
      </c>
      <c r="I701" t="s">
        <v>3071</v>
      </c>
      <c r="J701" t="s">
        <v>3774</v>
      </c>
      <c r="K701">
        <v>3</v>
      </c>
      <c r="L701" t="s">
        <v>4283</v>
      </c>
      <c r="M701" t="s">
        <v>4281</v>
      </c>
      <c r="N701">
        <v>1842.45</v>
      </c>
    </row>
    <row r="702" spans="1:14">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c r="A704" t="s">
        <v>716</v>
      </c>
      <c r="B704" s="2">
        <v>45452</v>
      </c>
      <c r="C704" t="s">
        <v>1914</v>
      </c>
      <c r="D704" t="s">
        <v>2407</v>
      </c>
      <c r="E704">
        <v>3</v>
      </c>
      <c r="F704">
        <v>562.54999999999995</v>
      </c>
      <c r="G704" t="s">
        <v>2842</v>
      </c>
      <c r="H704" t="s">
        <v>3065</v>
      </c>
      <c r="I704" t="s">
        <v>3072</v>
      </c>
      <c r="J704" t="s">
        <v>3777</v>
      </c>
      <c r="K704">
        <v>6</v>
      </c>
      <c r="L704" t="s">
        <v>4283</v>
      </c>
      <c r="M704" t="s">
        <v>4280</v>
      </c>
      <c r="N704">
        <v>1687.65</v>
      </c>
    </row>
    <row r="705" spans="1:14">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c r="A712" t="s">
        <v>724</v>
      </c>
      <c r="B712" s="2">
        <v>45495</v>
      </c>
      <c r="C712" t="s">
        <v>1922</v>
      </c>
      <c r="D712" t="s">
        <v>2408</v>
      </c>
      <c r="E712">
        <v>5</v>
      </c>
      <c r="F712">
        <v>21.54</v>
      </c>
      <c r="G712" t="s">
        <v>2885</v>
      </c>
      <c r="H712" t="s">
        <v>3068</v>
      </c>
      <c r="I712" t="s">
        <v>3072</v>
      </c>
      <c r="J712" t="s">
        <v>3785</v>
      </c>
      <c r="K712">
        <v>10</v>
      </c>
      <c r="L712" t="s">
        <v>4283</v>
      </c>
      <c r="M712" t="s">
        <v>4282</v>
      </c>
      <c r="N712">
        <v>107.7</v>
      </c>
    </row>
    <row r="713" spans="1:14">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c r="A723" t="s">
        <v>735</v>
      </c>
      <c r="B723" s="2">
        <v>45369</v>
      </c>
      <c r="C723" t="s">
        <v>1932</v>
      </c>
      <c r="D723" t="s">
        <v>2409</v>
      </c>
      <c r="E723">
        <v>2</v>
      </c>
      <c r="F723">
        <v>118.59</v>
      </c>
      <c r="G723" t="s">
        <v>2893</v>
      </c>
      <c r="H723" t="s">
        <v>3067</v>
      </c>
      <c r="I723" t="s">
        <v>3073</v>
      </c>
      <c r="J723" t="s">
        <v>3796</v>
      </c>
      <c r="K723">
        <v>2</v>
      </c>
      <c r="L723" t="s">
        <v>4283</v>
      </c>
      <c r="M723" t="s">
        <v>4280</v>
      </c>
      <c r="N723">
        <v>237.18</v>
      </c>
    </row>
    <row r="724" spans="1:14">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c r="A727" t="s">
        <v>739</v>
      </c>
      <c r="B727" s="2">
        <v>44997</v>
      </c>
      <c r="C727" t="s">
        <v>1936</v>
      </c>
      <c r="D727" t="s">
        <v>2406</v>
      </c>
      <c r="E727">
        <v>2</v>
      </c>
      <c r="F727">
        <v>194.85</v>
      </c>
      <c r="G727" t="s">
        <v>2787</v>
      </c>
      <c r="H727" t="s">
        <v>3068</v>
      </c>
      <c r="I727" t="s">
        <v>3072</v>
      </c>
      <c r="J727" t="s">
        <v>3800</v>
      </c>
      <c r="K727">
        <v>5</v>
      </c>
      <c r="L727" t="s">
        <v>4283</v>
      </c>
      <c r="M727" t="s">
        <v>4279</v>
      </c>
      <c r="N727">
        <v>389.7</v>
      </c>
    </row>
    <row r="728" spans="1:14">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c r="A733" t="s">
        <v>745</v>
      </c>
      <c r="B733" s="2">
        <v>45450</v>
      </c>
      <c r="C733" t="s">
        <v>1942</v>
      </c>
      <c r="D733" t="s">
        <v>2407</v>
      </c>
      <c r="E733">
        <v>5</v>
      </c>
      <c r="F733">
        <v>584.46</v>
      </c>
      <c r="G733" t="s">
        <v>2896</v>
      </c>
      <c r="H733" t="s">
        <v>3067</v>
      </c>
      <c r="I733" t="s">
        <v>3072</v>
      </c>
      <c r="J733" t="s">
        <v>3806</v>
      </c>
      <c r="K733">
        <v>8</v>
      </c>
      <c r="L733" t="s">
        <v>4283</v>
      </c>
      <c r="M733" t="s">
        <v>4280</v>
      </c>
      <c r="N733">
        <v>2922.3</v>
      </c>
    </row>
    <row r="734" spans="1:14">
      <c r="A734" t="s">
        <v>746</v>
      </c>
      <c r="B734" s="2">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c r="A737" t="s">
        <v>749</v>
      </c>
      <c r="B737" s="2">
        <v>45471</v>
      </c>
      <c r="C737" t="s">
        <v>1946</v>
      </c>
      <c r="D737" t="s">
        <v>2403</v>
      </c>
      <c r="E737">
        <v>4</v>
      </c>
      <c r="F737">
        <v>44.07</v>
      </c>
      <c r="G737" t="s">
        <v>2729</v>
      </c>
      <c r="H737" t="s">
        <v>3065</v>
      </c>
      <c r="I737" t="s">
        <v>3074</v>
      </c>
      <c r="J737" t="s">
        <v>3810</v>
      </c>
      <c r="K737">
        <v>6</v>
      </c>
      <c r="L737" t="s">
        <v>4283</v>
      </c>
      <c r="M737" t="s">
        <v>4280</v>
      </c>
      <c r="N737">
        <v>176.28</v>
      </c>
    </row>
    <row r="738" spans="1:14">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c r="A742" t="s">
        <v>754</v>
      </c>
      <c r="B742" s="2">
        <v>45493</v>
      </c>
      <c r="C742" t="s">
        <v>1951</v>
      </c>
      <c r="D742" t="s">
        <v>2409</v>
      </c>
      <c r="E742">
        <v>2</v>
      </c>
      <c r="F742">
        <v>377.47</v>
      </c>
      <c r="G742" t="s">
        <v>2749</v>
      </c>
      <c r="H742" t="s">
        <v>3069</v>
      </c>
      <c r="I742" t="s">
        <v>3074</v>
      </c>
      <c r="J742" t="s">
        <v>3815</v>
      </c>
      <c r="K742">
        <v>7</v>
      </c>
      <c r="L742" t="s">
        <v>4283</v>
      </c>
      <c r="M742" t="s">
        <v>4282</v>
      </c>
      <c r="N742">
        <v>754.94</v>
      </c>
    </row>
    <row r="743" spans="1:14">
      <c r="A743" t="s">
        <v>755</v>
      </c>
      <c r="B743" s="2">
        <v>45680</v>
      </c>
      <c r="C743" t="s">
        <v>1952</v>
      </c>
      <c r="D743" t="s">
        <v>2403</v>
      </c>
      <c r="E743">
        <v>5</v>
      </c>
      <c r="F743">
        <v>332.64</v>
      </c>
      <c r="G743" t="s">
        <v>2899</v>
      </c>
      <c r="H743" t="s">
        <v>3068</v>
      </c>
      <c r="I743" t="s">
        <v>3073</v>
      </c>
      <c r="J743" t="s">
        <v>3816</v>
      </c>
      <c r="K743">
        <v>10</v>
      </c>
      <c r="L743" t="s">
        <v>4283</v>
      </c>
      <c r="M743" t="s">
        <v>4279</v>
      </c>
      <c r="N743">
        <v>1663.2</v>
      </c>
    </row>
    <row r="744" spans="1:14">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c r="A757" t="s">
        <v>769</v>
      </c>
      <c r="B757" s="2">
        <v>45090</v>
      </c>
      <c r="C757" t="s">
        <v>1966</v>
      </c>
      <c r="D757" t="s">
        <v>2409</v>
      </c>
      <c r="E757">
        <v>3</v>
      </c>
      <c r="F757">
        <v>336.71</v>
      </c>
      <c r="G757" t="s">
        <v>2909</v>
      </c>
      <c r="H757" t="s">
        <v>3067</v>
      </c>
      <c r="I757" t="s">
        <v>3074</v>
      </c>
      <c r="J757" t="s">
        <v>3830</v>
      </c>
      <c r="K757">
        <v>4</v>
      </c>
      <c r="L757" t="s">
        <v>4283</v>
      </c>
      <c r="M757" t="s">
        <v>4280</v>
      </c>
      <c r="N757">
        <v>1010.13</v>
      </c>
    </row>
    <row r="758" spans="1:14">
      <c r="A758" t="s">
        <v>770</v>
      </c>
      <c r="B758" s="2">
        <v>45470</v>
      </c>
      <c r="C758" t="s">
        <v>1967</v>
      </c>
      <c r="D758" t="s">
        <v>2404</v>
      </c>
      <c r="E758">
        <v>1</v>
      </c>
      <c r="F758">
        <v>283.69</v>
      </c>
      <c r="G758" t="s">
        <v>2464</v>
      </c>
      <c r="H758" t="s">
        <v>3068</v>
      </c>
      <c r="I758" t="s">
        <v>3070</v>
      </c>
      <c r="J758" t="s">
        <v>3831</v>
      </c>
      <c r="K758">
        <v>6</v>
      </c>
      <c r="L758" t="s">
        <v>4283</v>
      </c>
      <c r="M758" t="s">
        <v>4282</v>
      </c>
      <c r="N758">
        <v>283.69</v>
      </c>
    </row>
    <row r="759" spans="1:14">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c r="A762" t="s">
        <v>774</v>
      </c>
      <c r="B762" s="2">
        <v>45706</v>
      </c>
      <c r="C762" t="s">
        <v>1971</v>
      </c>
      <c r="D762" t="s">
        <v>2409</v>
      </c>
      <c r="E762">
        <v>1</v>
      </c>
      <c r="F762">
        <v>39.56</v>
      </c>
      <c r="G762" t="s">
        <v>2570</v>
      </c>
      <c r="H762" t="s">
        <v>3065</v>
      </c>
      <c r="I762" t="s">
        <v>3071</v>
      </c>
      <c r="J762" t="s">
        <v>3835</v>
      </c>
      <c r="K762">
        <v>5</v>
      </c>
      <c r="L762" t="s">
        <v>4283</v>
      </c>
      <c r="M762" t="s">
        <v>4282</v>
      </c>
      <c r="N762">
        <v>39.56</v>
      </c>
    </row>
    <row r="763" spans="1:14">
      <c r="A763" t="s">
        <v>775</v>
      </c>
      <c r="B763" s="2">
        <v>45079</v>
      </c>
      <c r="C763" t="s">
        <v>1972</v>
      </c>
      <c r="D763" t="s">
        <v>2409</v>
      </c>
      <c r="E763">
        <v>4</v>
      </c>
      <c r="F763">
        <v>37.76</v>
      </c>
      <c r="G763" t="s">
        <v>2911</v>
      </c>
      <c r="H763" t="s">
        <v>3065</v>
      </c>
      <c r="I763" t="s">
        <v>3073</v>
      </c>
      <c r="J763" t="s">
        <v>3836</v>
      </c>
      <c r="K763">
        <v>7</v>
      </c>
      <c r="L763" t="s">
        <v>4283</v>
      </c>
      <c r="M763" t="s">
        <v>4282</v>
      </c>
      <c r="N763">
        <v>151.04</v>
      </c>
    </row>
    <row r="764" spans="1:14">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c r="A769" t="s">
        <v>781</v>
      </c>
      <c r="B769" s="2">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c r="A771" t="s">
        <v>783</v>
      </c>
      <c r="B771" s="2">
        <v>45113</v>
      </c>
      <c r="C771" t="s">
        <v>1980</v>
      </c>
      <c r="D771" t="s">
        <v>2407</v>
      </c>
      <c r="E771">
        <v>4</v>
      </c>
      <c r="F771">
        <v>678.55</v>
      </c>
      <c r="G771" t="s">
        <v>2438</v>
      </c>
      <c r="H771" t="s">
        <v>3069</v>
      </c>
      <c r="I771" t="s">
        <v>3073</v>
      </c>
      <c r="J771" t="s">
        <v>3844</v>
      </c>
      <c r="K771">
        <v>5</v>
      </c>
      <c r="L771" t="s">
        <v>4283</v>
      </c>
      <c r="M771" t="s">
        <v>4280</v>
      </c>
      <c r="N771">
        <v>2714.2</v>
      </c>
    </row>
    <row r="772" spans="1:14">
      <c r="A772" t="s">
        <v>784</v>
      </c>
      <c r="B772" s="2">
        <v>45333</v>
      </c>
      <c r="C772" t="s">
        <v>1981</v>
      </c>
      <c r="D772" t="s">
        <v>2409</v>
      </c>
      <c r="E772">
        <v>1</v>
      </c>
      <c r="F772">
        <v>314.38</v>
      </c>
      <c r="G772" t="s">
        <v>2757</v>
      </c>
      <c r="H772" t="s">
        <v>3066</v>
      </c>
      <c r="I772" t="s">
        <v>3072</v>
      </c>
      <c r="J772" t="s">
        <v>3845</v>
      </c>
      <c r="K772">
        <v>6</v>
      </c>
      <c r="L772" t="s">
        <v>4283</v>
      </c>
      <c r="M772" t="s">
        <v>4282</v>
      </c>
      <c r="N772">
        <v>314.38</v>
      </c>
    </row>
    <row r="773" spans="1:14">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c r="A774" t="s">
        <v>786</v>
      </c>
      <c r="B774" s="2">
        <v>45501</v>
      </c>
      <c r="C774" t="s">
        <v>1983</v>
      </c>
      <c r="D774" t="s">
        <v>2403</v>
      </c>
      <c r="E774">
        <v>1</v>
      </c>
      <c r="F774">
        <v>604.87</v>
      </c>
      <c r="G774" t="s">
        <v>2914</v>
      </c>
      <c r="H774" t="s">
        <v>3066</v>
      </c>
      <c r="I774" t="s">
        <v>3073</v>
      </c>
      <c r="J774" t="s">
        <v>3847</v>
      </c>
      <c r="K774">
        <v>4</v>
      </c>
      <c r="L774" t="s">
        <v>4283</v>
      </c>
      <c r="M774" t="s">
        <v>4278</v>
      </c>
      <c r="N774">
        <v>604.87</v>
      </c>
    </row>
    <row r="775" spans="1:14">
      <c r="A775" t="s">
        <v>787</v>
      </c>
      <c r="B775" s="2">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c r="A777" t="s">
        <v>789</v>
      </c>
      <c r="B777" s="2">
        <v>44989</v>
      </c>
      <c r="C777" t="s">
        <v>1986</v>
      </c>
      <c r="D777" t="s">
        <v>2404</v>
      </c>
      <c r="E777">
        <v>2</v>
      </c>
      <c r="F777">
        <v>625.22</v>
      </c>
      <c r="G777" t="s">
        <v>2431</v>
      </c>
      <c r="H777" t="s">
        <v>3066</v>
      </c>
      <c r="I777" t="s">
        <v>3071</v>
      </c>
      <c r="J777" t="s">
        <v>3850</v>
      </c>
      <c r="K777">
        <v>5</v>
      </c>
      <c r="L777" t="s">
        <v>4283</v>
      </c>
      <c r="M777" t="s">
        <v>4282</v>
      </c>
      <c r="N777">
        <v>1250.44</v>
      </c>
    </row>
    <row r="778" spans="1:14">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c r="A779" t="s">
        <v>791</v>
      </c>
      <c r="B779" s="2">
        <v>45737</v>
      </c>
      <c r="C779" t="s">
        <v>1988</v>
      </c>
      <c r="D779" t="s">
        <v>2406</v>
      </c>
      <c r="E779">
        <v>5</v>
      </c>
      <c r="F779">
        <v>64.489999999999995</v>
      </c>
      <c r="G779" t="s">
        <v>2432</v>
      </c>
      <c r="H779" t="s">
        <v>3066</v>
      </c>
      <c r="I779" t="s">
        <v>3071</v>
      </c>
      <c r="J779" t="s">
        <v>3852</v>
      </c>
      <c r="K779">
        <v>7</v>
      </c>
      <c r="L779" t="s">
        <v>4283</v>
      </c>
      <c r="M779" t="s">
        <v>4281</v>
      </c>
      <c r="N779">
        <v>322.45</v>
      </c>
    </row>
    <row r="780" spans="1:14">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c r="A788" t="s">
        <v>800</v>
      </c>
      <c r="B788" s="2">
        <v>45161</v>
      </c>
      <c r="C788" t="s">
        <v>1997</v>
      </c>
      <c r="D788" t="s">
        <v>2406</v>
      </c>
      <c r="E788">
        <v>5</v>
      </c>
      <c r="F788">
        <v>45.31</v>
      </c>
      <c r="G788" t="s">
        <v>2921</v>
      </c>
      <c r="H788" t="s">
        <v>3066</v>
      </c>
      <c r="I788" t="s">
        <v>3071</v>
      </c>
      <c r="J788" t="s">
        <v>3861</v>
      </c>
      <c r="K788">
        <v>8</v>
      </c>
      <c r="L788" t="s">
        <v>4283</v>
      </c>
      <c r="M788" t="s">
        <v>4279</v>
      </c>
      <c r="N788">
        <v>226.55</v>
      </c>
    </row>
    <row r="789" spans="1:14">
      <c r="A789" t="s">
        <v>801</v>
      </c>
      <c r="B789" s="2">
        <v>45368</v>
      </c>
      <c r="C789" t="s">
        <v>1998</v>
      </c>
      <c r="D789" t="s">
        <v>2409</v>
      </c>
      <c r="E789">
        <v>4</v>
      </c>
      <c r="F789">
        <v>221.96</v>
      </c>
      <c r="G789" t="s">
        <v>2922</v>
      </c>
      <c r="H789" t="s">
        <v>3069</v>
      </c>
      <c r="I789" t="s">
        <v>3073</v>
      </c>
      <c r="J789" t="s">
        <v>3862</v>
      </c>
      <c r="K789">
        <v>7</v>
      </c>
      <c r="L789" t="s">
        <v>4283</v>
      </c>
      <c r="M789" t="s">
        <v>4282</v>
      </c>
      <c r="N789">
        <v>887.84</v>
      </c>
    </row>
    <row r="790" spans="1:14">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c r="A792" t="s">
        <v>804</v>
      </c>
      <c r="B792" s="2">
        <v>45549</v>
      </c>
      <c r="C792" t="s">
        <v>2001</v>
      </c>
      <c r="D792" t="s">
        <v>2408</v>
      </c>
      <c r="E792">
        <v>4</v>
      </c>
      <c r="F792">
        <v>417.89</v>
      </c>
      <c r="G792" t="s">
        <v>2925</v>
      </c>
      <c r="H792" t="s">
        <v>3068</v>
      </c>
      <c r="I792" t="s">
        <v>3074</v>
      </c>
      <c r="J792" t="s">
        <v>3865</v>
      </c>
      <c r="K792">
        <v>4</v>
      </c>
      <c r="L792" t="s">
        <v>4283</v>
      </c>
      <c r="M792" t="s">
        <v>4282</v>
      </c>
      <c r="N792">
        <v>1671.56</v>
      </c>
    </row>
    <row r="793" spans="1:14">
      <c r="A793" t="s">
        <v>805</v>
      </c>
      <c r="B793" s="2">
        <v>45304</v>
      </c>
      <c r="C793" t="s">
        <v>2002</v>
      </c>
      <c r="D793" t="s">
        <v>2406</v>
      </c>
      <c r="E793">
        <v>4</v>
      </c>
      <c r="F793">
        <v>409.28</v>
      </c>
      <c r="G793" t="s">
        <v>2434</v>
      </c>
      <c r="H793" t="s">
        <v>3069</v>
      </c>
      <c r="I793" t="s">
        <v>3074</v>
      </c>
      <c r="J793" t="s">
        <v>3866</v>
      </c>
      <c r="K793">
        <v>8</v>
      </c>
      <c r="L793" t="s">
        <v>4283</v>
      </c>
      <c r="M793" t="s">
        <v>4280</v>
      </c>
      <c r="N793">
        <v>1637.12</v>
      </c>
    </row>
    <row r="794" spans="1:14">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c r="A795" t="s">
        <v>807</v>
      </c>
      <c r="B795" s="2">
        <v>45397</v>
      </c>
      <c r="C795" t="s">
        <v>2004</v>
      </c>
      <c r="D795" t="s">
        <v>2406</v>
      </c>
      <c r="E795">
        <v>5</v>
      </c>
      <c r="F795">
        <v>170.22</v>
      </c>
      <c r="G795" t="s">
        <v>2745</v>
      </c>
      <c r="H795" t="s">
        <v>3065</v>
      </c>
      <c r="I795" t="s">
        <v>3073</v>
      </c>
      <c r="J795" t="s">
        <v>3868</v>
      </c>
      <c r="K795">
        <v>8</v>
      </c>
      <c r="L795" t="s">
        <v>4283</v>
      </c>
      <c r="M795" t="s">
        <v>4279</v>
      </c>
      <c r="N795">
        <v>851.1</v>
      </c>
    </row>
    <row r="796" spans="1:14">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c r="A799" t="s">
        <v>811</v>
      </c>
      <c r="B799" s="2">
        <v>44984</v>
      </c>
      <c r="C799" t="s">
        <v>2008</v>
      </c>
      <c r="D799" t="s">
        <v>2408</v>
      </c>
      <c r="E799">
        <v>2</v>
      </c>
      <c r="F799">
        <v>438.76</v>
      </c>
      <c r="G799" t="s">
        <v>2929</v>
      </c>
      <c r="H799" t="s">
        <v>3065</v>
      </c>
      <c r="I799" t="s">
        <v>3072</v>
      </c>
      <c r="J799" t="s">
        <v>3872</v>
      </c>
      <c r="K799">
        <v>2</v>
      </c>
      <c r="L799" t="s">
        <v>4283</v>
      </c>
      <c r="M799" t="s">
        <v>4281</v>
      </c>
      <c r="N799">
        <v>877.52</v>
      </c>
    </row>
    <row r="800" spans="1:14">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c r="A810" t="s">
        <v>822</v>
      </c>
      <c r="B810" s="2">
        <v>45335</v>
      </c>
      <c r="C810" t="s">
        <v>2018</v>
      </c>
      <c r="D810" t="s">
        <v>2409</v>
      </c>
      <c r="E810">
        <v>3</v>
      </c>
      <c r="F810">
        <v>134.05000000000001</v>
      </c>
      <c r="G810" t="s">
        <v>2936</v>
      </c>
      <c r="H810" t="s">
        <v>3067</v>
      </c>
      <c r="I810" t="s">
        <v>3070</v>
      </c>
      <c r="J810" t="s">
        <v>3883</v>
      </c>
      <c r="K810">
        <v>3</v>
      </c>
      <c r="L810" t="s">
        <v>4283</v>
      </c>
      <c r="M810" t="s">
        <v>4282</v>
      </c>
      <c r="N810">
        <v>402.15</v>
      </c>
    </row>
    <row r="811" spans="1:14">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c r="A812" t="s">
        <v>824</v>
      </c>
      <c r="B812" s="2">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c r="A833" t="s">
        <v>845</v>
      </c>
      <c r="B833" s="2">
        <v>45278</v>
      </c>
      <c r="C833" t="s">
        <v>2041</v>
      </c>
      <c r="D833" t="s">
        <v>2407</v>
      </c>
      <c r="E833">
        <v>2</v>
      </c>
      <c r="F833">
        <v>88.73</v>
      </c>
      <c r="G833" t="s">
        <v>2851</v>
      </c>
      <c r="H833" t="s">
        <v>3066</v>
      </c>
      <c r="I833" t="s">
        <v>3074</v>
      </c>
      <c r="J833" t="s">
        <v>3906</v>
      </c>
      <c r="K833">
        <v>5</v>
      </c>
      <c r="L833" t="s">
        <v>4283</v>
      </c>
      <c r="M833" t="s">
        <v>4282</v>
      </c>
      <c r="N833">
        <v>177.46</v>
      </c>
    </row>
    <row r="834" spans="1:14">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c r="A836" t="s">
        <v>848</v>
      </c>
      <c r="B836" s="2">
        <v>45393</v>
      </c>
      <c r="C836" t="s">
        <v>2044</v>
      </c>
      <c r="D836" t="s">
        <v>2407</v>
      </c>
      <c r="E836">
        <v>5</v>
      </c>
      <c r="F836">
        <v>22.14</v>
      </c>
      <c r="G836" t="s">
        <v>2616</v>
      </c>
      <c r="H836" t="s">
        <v>3069</v>
      </c>
      <c r="I836" t="s">
        <v>3072</v>
      </c>
      <c r="J836" t="s">
        <v>3909</v>
      </c>
      <c r="K836">
        <v>10</v>
      </c>
      <c r="L836" t="s">
        <v>4283</v>
      </c>
      <c r="M836" t="s">
        <v>4278</v>
      </c>
      <c r="N836">
        <v>110.7</v>
      </c>
    </row>
    <row r="837" spans="1:14">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c r="A839" t="s">
        <v>851</v>
      </c>
      <c r="B839" s="2">
        <v>45822</v>
      </c>
      <c r="C839" t="s">
        <v>2047</v>
      </c>
      <c r="D839" t="s">
        <v>2406</v>
      </c>
      <c r="E839">
        <v>5</v>
      </c>
      <c r="F839">
        <v>655.55</v>
      </c>
      <c r="G839" t="s">
        <v>2839</v>
      </c>
      <c r="H839" t="s">
        <v>3066</v>
      </c>
      <c r="I839" t="s">
        <v>3073</v>
      </c>
      <c r="J839" t="s">
        <v>3912</v>
      </c>
      <c r="K839">
        <v>5</v>
      </c>
      <c r="L839" t="s">
        <v>4283</v>
      </c>
      <c r="M839" t="s">
        <v>4280</v>
      </c>
      <c r="N839">
        <v>3277.75</v>
      </c>
    </row>
    <row r="840" spans="1:14">
      <c r="A840" t="s">
        <v>852</v>
      </c>
      <c r="B840" s="2">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c r="A841" t="s">
        <v>853</v>
      </c>
      <c r="B841" s="2">
        <v>45162</v>
      </c>
      <c r="C841" t="s">
        <v>2049</v>
      </c>
      <c r="D841" t="s">
        <v>2406</v>
      </c>
      <c r="E841">
        <v>3</v>
      </c>
      <c r="F841">
        <v>197.97</v>
      </c>
      <c r="G841" t="s">
        <v>2902</v>
      </c>
      <c r="H841" t="s">
        <v>3066</v>
      </c>
      <c r="I841" t="s">
        <v>3071</v>
      </c>
      <c r="J841" t="s">
        <v>3914</v>
      </c>
      <c r="K841">
        <v>5</v>
      </c>
      <c r="L841" t="s">
        <v>4283</v>
      </c>
      <c r="M841" t="s">
        <v>4282</v>
      </c>
      <c r="N841">
        <v>593.91</v>
      </c>
    </row>
    <row r="842" spans="1:14">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c r="A843" t="s">
        <v>855</v>
      </c>
      <c r="B843" s="2">
        <v>45554</v>
      </c>
      <c r="C843" t="s">
        <v>2051</v>
      </c>
      <c r="D843" t="s">
        <v>2407</v>
      </c>
      <c r="E843">
        <v>2</v>
      </c>
      <c r="F843">
        <v>443.22</v>
      </c>
      <c r="G843" t="s">
        <v>2950</v>
      </c>
      <c r="H843" t="s">
        <v>3067</v>
      </c>
      <c r="I843" t="s">
        <v>3073</v>
      </c>
      <c r="J843" t="s">
        <v>3916</v>
      </c>
      <c r="K843">
        <v>5</v>
      </c>
      <c r="L843" t="s">
        <v>4283</v>
      </c>
      <c r="M843" t="s">
        <v>4281</v>
      </c>
      <c r="N843">
        <v>886.44</v>
      </c>
    </row>
    <row r="844" spans="1:14">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c r="A848" t="s">
        <v>860</v>
      </c>
      <c r="B848" s="2">
        <v>45477</v>
      </c>
      <c r="C848" t="s">
        <v>2056</v>
      </c>
      <c r="D848" t="s">
        <v>2409</v>
      </c>
      <c r="E848">
        <v>2</v>
      </c>
      <c r="F848">
        <v>359.86</v>
      </c>
      <c r="G848" t="s">
        <v>2954</v>
      </c>
      <c r="H848" t="s">
        <v>3065</v>
      </c>
      <c r="I848" t="s">
        <v>3071</v>
      </c>
      <c r="J848" t="s">
        <v>3921</v>
      </c>
      <c r="K848">
        <v>4</v>
      </c>
      <c r="L848" t="s">
        <v>4283</v>
      </c>
      <c r="M848" t="s">
        <v>4279</v>
      </c>
      <c r="N848">
        <v>719.72</v>
      </c>
    </row>
    <row r="849" spans="1:14">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c r="A850" t="s">
        <v>862</v>
      </c>
      <c r="B850" s="2">
        <v>44927</v>
      </c>
      <c r="C850" t="s">
        <v>2058</v>
      </c>
      <c r="D850" t="s">
        <v>2406</v>
      </c>
      <c r="E850">
        <v>2</v>
      </c>
      <c r="F850">
        <v>645.85</v>
      </c>
      <c r="G850" t="s">
        <v>2466</v>
      </c>
      <c r="H850" t="s">
        <v>3066</v>
      </c>
      <c r="I850" t="s">
        <v>3070</v>
      </c>
      <c r="J850" t="s">
        <v>3923</v>
      </c>
      <c r="K850">
        <v>5</v>
      </c>
      <c r="L850" t="s">
        <v>4283</v>
      </c>
      <c r="M850" t="s">
        <v>4279</v>
      </c>
      <c r="N850">
        <v>1291.7</v>
      </c>
    </row>
    <row r="851" spans="1:14">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c r="A858" t="s">
        <v>870</v>
      </c>
      <c r="B858" s="2">
        <v>45446</v>
      </c>
      <c r="C858" t="s">
        <v>2066</v>
      </c>
      <c r="D858" t="s">
        <v>2404</v>
      </c>
      <c r="E858">
        <v>1</v>
      </c>
      <c r="F858">
        <v>586.62</v>
      </c>
      <c r="G858" t="s">
        <v>2452</v>
      </c>
      <c r="H858" t="s">
        <v>3065</v>
      </c>
      <c r="I858" t="s">
        <v>3070</v>
      </c>
      <c r="J858" t="s">
        <v>3931</v>
      </c>
      <c r="K858">
        <v>5</v>
      </c>
      <c r="L858" t="s">
        <v>4283</v>
      </c>
      <c r="M858" t="s">
        <v>4281</v>
      </c>
      <c r="N858">
        <v>586.62</v>
      </c>
    </row>
    <row r="859" spans="1:14">
      <c r="A859" t="s">
        <v>871</v>
      </c>
      <c r="B859" s="2">
        <v>45361</v>
      </c>
      <c r="C859" t="s">
        <v>2067</v>
      </c>
      <c r="D859" t="s">
        <v>2404</v>
      </c>
      <c r="E859">
        <v>3</v>
      </c>
      <c r="F859">
        <v>257.83999999999997</v>
      </c>
      <c r="G859" t="s">
        <v>2594</v>
      </c>
      <c r="H859" t="s">
        <v>3066</v>
      </c>
      <c r="I859" t="s">
        <v>3073</v>
      </c>
      <c r="J859" t="s">
        <v>3932</v>
      </c>
      <c r="K859">
        <v>4</v>
      </c>
      <c r="L859" t="s">
        <v>4283</v>
      </c>
      <c r="M859" t="s">
        <v>4278</v>
      </c>
      <c r="N859">
        <v>773.52</v>
      </c>
    </row>
    <row r="860" spans="1:14">
      <c r="A860" t="s">
        <v>872</v>
      </c>
      <c r="B860" s="2">
        <v>45158</v>
      </c>
      <c r="C860" t="s">
        <v>2068</v>
      </c>
      <c r="D860" t="s">
        <v>2405</v>
      </c>
      <c r="E860">
        <v>5</v>
      </c>
      <c r="F860">
        <v>435.66</v>
      </c>
      <c r="G860" t="s">
        <v>2428</v>
      </c>
      <c r="H860" t="s">
        <v>3066</v>
      </c>
      <c r="I860" t="s">
        <v>3074</v>
      </c>
      <c r="J860" t="s">
        <v>3933</v>
      </c>
      <c r="K860">
        <v>9</v>
      </c>
      <c r="L860" t="s">
        <v>4283</v>
      </c>
      <c r="M860" t="s">
        <v>4281</v>
      </c>
      <c r="N860">
        <v>2178.3000000000002</v>
      </c>
    </row>
    <row r="861" spans="1:14">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t="s">
        <v>882</v>
      </c>
      <c r="B870" s="2">
        <v>45472</v>
      </c>
      <c r="C870" t="s">
        <v>2078</v>
      </c>
      <c r="D870" t="s">
        <v>2403</v>
      </c>
      <c r="E870">
        <v>4</v>
      </c>
      <c r="F870">
        <v>316.32</v>
      </c>
      <c r="G870" t="s">
        <v>2961</v>
      </c>
      <c r="H870" t="s">
        <v>3065</v>
      </c>
      <c r="I870" t="s">
        <v>3073</v>
      </c>
      <c r="J870" t="s">
        <v>3943</v>
      </c>
      <c r="K870">
        <v>7</v>
      </c>
      <c r="L870" t="s">
        <v>4283</v>
      </c>
      <c r="M870" t="s">
        <v>4281</v>
      </c>
      <c r="N870">
        <v>1265.28</v>
      </c>
    </row>
    <row r="871" spans="1:14">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c r="A874" t="s">
        <v>886</v>
      </c>
      <c r="B874" s="2">
        <v>45117</v>
      </c>
      <c r="C874" t="s">
        <v>2082</v>
      </c>
      <c r="D874" t="s">
        <v>2406</v>
      </c>
      <c r="E874">
        <v>4</v>
      </c>
      <c r="F874">
        <v>629.34</v>
      </c>
      <c r="G874" t="s">
        <v>2590</v>
      </c>
      <c r="H874" t="s">
        <v>3069</v>
      </c>
      <c r="I874" t="s">
        <v>3070</v>
      </c>
      <c r="J874" t="s">
        <v>3947</v>
      </c>
      <c r="K874">
        <v>7</v>
      </c>
      <c r="L874" t="s">
        <v>4283</v>
      </c>
      <c r="M874" t="s">
        <v>4280</v>
      </c>
      <c r="N874">
        <v>2517.36</v>
      </c>
    </row>
    <row r="875" spans="1:14">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c r="A881" t="s">
        <v>893</v>
      </c>
      <c r="B881" s="2">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c r="A883" t="s">
        <v>895</v>
      </c>
      <c r="B883" s="2">
        <v>44929</v>
      </c>
      <c r="C883" t="s">
        <v>2091</v>
      </c>
      <c r="D883" t="s">
        <v>2405</v>
      </c>
      <c r="E883">
        <v>2</v>
      </c>
      <c r="F883">
        <v>448.85</v>
      </c>
      <c r="G883" t="s">
        <v>2966</v>
      </c>
      <c r="H883" t="s">
        <v>3067</v>
      </c>
      <c r="I883" t="s">
        <v>3074</v>
      </c>
      <c r="J883" t="s">
        <v>3956</v>
      </c>
      <c r="K883">
        <v>6</v>
      </c>
      <c r="L883" t="s">
        <v>4283</v>
      </c>
      <c r="M883" t="s">
        <v>4278</v>
      </c>
      <c r="N883">
        <v>897.7</v>
      </c>
    </row>
    <row r="884" spans="1:14">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c r="A886" t="s">
        <v>898</v>
      </c>
      <c r="B886" s="2">
        <v>45427</v>
      </c>
      <c r="C886" t="s">
        <v>2094</v>
      </c>
      <c r="D886" t="s">
        <v>2406</v>
      </c>
      <c r="E886">
        <v>1</v>
      </c>
      <c r="F886">
        <v>595.54</v>
      </c>
      <c r="G886" t="s">
        <v>2968</v>
      </c>
      <c r="H886" t="s">
        <v>3068</v>
      </c>
      <c r="I886" t="s">
        <v>3070</v>
      </c>
      <c r="J886" t="s">
        <v>3959</v>
      </c>
      <c r="K886">
        <v>4</v>
      </c>
      <c r="L886" t="s">
        <v>4283</v>
      </c>
      <c r="M886" t="s">
        <v>4278</v>
      </c>
      <c r="N886">
        <v>595.54</v>
      </c>
    </row>
    <row r="887" spans="1:14">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c r="A888" t="s">
        <v>900</v>
      </c>
      <c r="B888" s="2">
        <v>45224</v>
      </c>
      <c r="C888" t="s">
        <v>2096</v>
      </c>
      <c r="D888" t="s">
        <v>2404</v>
      </c>
      <c r="E888">
        <v>1</v>
      </c>
      <c r="F888">
        <v>460.13</v>
      </c>
      <c r="G888" t="s">
        <v>2970</v>
      </c>
      <c r="H888" t="s">
        <v>3067</v>
      </c>
      <c r="I888" t="s">
        <v>3072</v>
      </c>
      <c r="J888" t="s">
        <v>3961</v>
      </c>
      <c r="K888">
        <v>1</v>
      </c>
      <c r="L888" t="s">
        <v>4283</v>
      </c>
      <c r="M888" t="s">
        <v>4282</v>
      </c>
      <c r="N888">
        <v>460.13</v>
      </c>
    </row>
    <row r="889" spans="1:14">
      <c r="A889" t="s">
        <v>901</v>
      </c>
      <c r="B889" s="2">
        <v>45645</v>
      </c>
      <c r="C889" t="s">
        <v>2097</v>
      </c>
      <c r="D889" t="s">
        <v>2406</v>
      </c>
      <c r="E889">
        <v>3</v>
      </c>
      <c r="F889">
        <v>171.66</v>
      </c>
      <c r="G889" t="s">
        <v>2971</v>
      </c>
      <c r="H889" t="s">
        <v>3065</v>
      </c>
      <c r="I889" t="s">
        <v>3073</v>
      </c>
      <c r="J889" t="s">
        <v>3962</v>
      </c>
      <c r="K889">
        <v>7</v>
      </c>
      <c r="L889" t="s">
        <v>4283</v>
      </c>
      <c r="M889" t="s">
        <v>4282</v>
      </c>
      <c r="N889">
        <v>514.98</v>
      </c>
    </row>
    <row r="890" spans="1:14">
      <c r="A890" t="s">
        <v>902</v>
      </c>
      <c r="B890" s="2">
        <v>45496</v>
      </c>
      <c r="C890" t="s">
        <v>2098</v>
      </c>
      <c r="D890" t="s">
        <v>2408</v>
      </c>
      <c r="E890">
        <v>2</v>
      </c>
      <c r="F890">
        <v>266.95</v>
      </c>
      <c r="G890" t="s">
        <v>2972</v>
      </c>
      <c r="H890" t="s">
        <v>3067</v>
      </c>
      <c r="I890" t="s">
        <v>3074</v>
      </c>
      <c r="J890" t="s">
        <v>3963</v>
      </c>
      <c r="K890">
        <v>3</v>
      </c>
      <c r="L890" t="s">
        <v>4283</v>
      </c>
      <c r="M890" t="s">
        <v>4278</v>
      </c>
      <c r="N890">
        <v>533.9</v>
      </c>
    </row>
    <row r="891" spans="1:14">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c r="A892" t="s">
        <v>904</v>
      </c>
      <c r="B892" s="2">
        <v>45149</v>
      </c>
      <c r="C892" t="s">
        <v>2100</v>
      </c>
      <c r="D892" t="s">
        <v>2408</v>
      </c>
      <c r="E892">
        <v>3</v>
      </c>
      <c r="F892">
        <v>439.53</v>
      </c>
      <c r="G892" t="s">
        <v>2781</v>
      </c>
      <c r="H892" t="s">
        <v>3065</v>
      </c>
      <c r="I892" t="s">
        <v>3074</v>
      </c>
      <c r="J892" t="s">
        <v>3965</v>
      </c>
      <c r="K892">
        <v>5</v>
      </c>
      <c r="L892" t="s">
        <v>4283</v>
      </c>
      <c r="M892" t="s">
        <v>4282</v>
      </c>
      <c r="N892">
        <v>1318.59</v>
      </c>
    </row>
    <row r="893" spans="1:14">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c r="A900" t="s">
        <v>912</v>
      </c>
      <c r="B900" s="2">
        <v>45721</v>
      </c>
      <c r="C900" t="s">
        <v>2108</v>
      </c>
      <c r="D900" t="s">
        <v>2403</v>
      </c>
      <c r="E900">
        <v>3</v>
      </c>
      <c r="F900">
        <v>158.37</v>
      </c>
      <c r="G900" t="s">
        <v>2950</v>
      </c>
      <c r="H900" t="s">
        <v>3069</v>
      </c>
      <c r="I900" t="s">
        <v>3070</v>
      </c>
      <c r="J900" t="s">
        <v>3973</v>
      </c>
      <c r="K900">
        <v>6</v>
      </c>
      <c r="L900" t="s">
        <v>4283</v>
      </c>
      <c r="M900" t="s">
        <v>4279</v>
      </c>
      <c r="N900">
        <v>475.11</v>
      </c>
    </row>
    <row r="901" spans="1:14">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c r="A902" t="s">
        <v>914</v>
      </c>
      <c r="B902" s="2">
        <v>45695</v>
      </c>
      <c r="C902" t="s">
        <v>2110</v>
      </c>
      <c r="D902" t="s">
        <v>2408</v>
      </c>
      <c r="E902">
        <v>5</v>
      </c>
      <c r="F902">
        <v>73.83</v>
      </c>
      <c r="G902" t="s">
        <v>2802</v>
      </c>
      <c r="H902" t="s">
        <v>3065</v>
      </c>
      <c r="I902" t="s">
        <v>3074</v>
      </c>
      <c r="J902" t="s">
        <v>3975</v>
      </c>
      <c r="K902">
        <v>9</v>
      </c>
      <c r="L902" t="s">
        <v>4283</v>
      </c>
      <c r="M902" t="s">
        <v>4278</v>
      </c>
      <c r="N902">
        <v>369.15</v>
      </c>
    </row>
    <row r="903" spans="1:14">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c r="A904" t="s">
        <v>916</v>
      </c>
      <c r="B904" s="2">
        <v>45486</v>
      </c>
      <c r="C904" t="s">
        <v>2112</v>
      </c>
      <c r="D904" t="s">
        <v>2403</v>
      </c>
      <c r="E904">
        <v>4</v>
      </c>
      <c r="F904">
        <v>180.25</v>
      </c>
      <c r="G904" t="s">
        <v>2469</v>
      </c>
      <c r="H904" t="s">
        <v>3065</v>
      </c>
      <c r="I904" t="s">
        <v>3071</v>
      </c>
      <c r="J904" t="s">
        <v>3977</v>
      </c>
      <c r="K904">
        <v>7</v>
      </c>
      <c r="L904" t="s">
        <v>4283</v>
      </c>
      <c r="M904" t="s">
        <v>4281</v>
      </c>
      <c r="N904">
        <v>721</v>
      </c>
    </row>
    <row r="905" spans="1:14">
      <c r="A905" t="s">
        <v>917</v>
      </c>
      <c r="B905" s="2">
        <v>45063</v>
      </c>
      <c r="C905" t="s">
        <v>2113</v>
      </c>
      <c r="D905" t="s">
        <v>2403</v>
      </c>
      <c r="E905">
        <v>3</v>
      </c>
      <c r="F905">
        <v>473.49</v>
      </c>
      <c r="G905" t="s">
        <v>2932</v>
      </c>
      <c r="H905" t="s">
        <v>3067</v>
      </c>
      <c r="I905" t="s">
        <v>3074</v>
      </c>
      <c r="J905" t="s">
        <v>3978</v>
      </c>
      <c r="K905">
        <v>7</v>
      </c>
      <c r="L905" t="s">
        <v>4283</v>
      </c>
      <c r="M905" t="s">
        <v>4280</v>
      </c>
      <c r="N905">
        <v>1420.47</v>
      </c>
    </row>
    <row r="906" spans="1:14">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c r="A908" t="s">
        <v>920</v>
      </c>
      <c r="B908" s="2">
        <v>45538</v>
      </c>
      <c r="C908" t="s">
        <v>2116</v>
      </c>
      <c r="D908" t="s">
        <v>2403</v>
      </c>
      <c r="E908">
        <v>1</v>
      </c>
      <c r="F908">
        <v>62.12</v>
      </c>
      <c r="G908" t="s">
        <v>2977</v>
      </c>
      <c r="H908" t="s">
        <v>3069</v>
      </c>
      <c r="I908" t="s">
        <v>3072</v>
      </c>
      <c r="J908" t="s">
        <v>3981</v>
      </c>
      <c r="K908">
        <v>2</v>
      </c>
      <c r="L908" t="s">
        <v>4283</v>
      </c>
      <c r="M908" t="s">
        <v>4280</v>
      </c>
      <c r="N908">
        <v>62.12</v>
      </c>
    </row>
    <row r="909" spans="1:14">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c r="A918" t="s">
        <v>930</v>
      </c>
      <c r="B918" s="2">
        <v>45464</v>
      </c>
      <c r="C918" t="s">
        <v>2126</v>
      </c>
      <c r="D918" t="s">
        <v>2407</v>
      </c>
      <c r="E918">
        <v>5</v>
      </c>
      <c r="F918">
        <v>578.83000000000004</v>
      </c>
      <c r="G918" t="s">
        <v>2913</v>
      </c>
      <c r="H918" t="s">
        <v>3069</v>
      </c>
      <c r="I918" t="s">
        <v>3072</v>
      </c>
      <c r="J918" t="s">
        <v>3991</v>
      </c>
      <c r="K918">
        <v>6</v>
      </c>
      <c r="L918" t="s">
        <v>4283</v>
      </c>
      <c r="M918" t="s">
        <v>4279</v>
      </c>
      <c r="N918">
        <v>2894.15</v>
      </c>
    </row>
    <row r="919" spans="1:14">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c r="A920" t="s">
        <v>932</v>
      </c>
      <c r="B920" s="2">
        <v>45832</v>
      </c>
      <c r="C920" t="s">
        <v>2128</v>
      </c>
      <c r="D920" t="s">
        <v>2408</v>
      </c>
      <c r="E920">
        <v>5</v>
      </c>
      <c r="F920">
        <v>368.25</v>
      </c>
      <c r="G920" t="s">
        <v>2417</v>
      </c>
      <c r="H920" t="s">
        <v>3066</v>
      </c>
      <c r="I920" t="s">
        <v>3073</v>
      </c>
      <c r="J920" t="s">
        <v>3993</v>
      </c>
      <c r="K920">
        <v>5</v>
      </c>
      <c r="L920" t="s">
        <v>4283</v>
      </c>
      <c r="M920" t="s">
        <v>4278</v>
      </c>
      <c r="N920">
        <v>1841.25</v>
      </c>
    </row>
    <row r="921" spans="1:14">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c r="A922" t="s">
        <v>934</v>
      </c>
      <c r="B922" s="2">
        <v>45728</v>
      </c>
      <c r="C922" t="s">
        <v>2130</v>
      </c>
      <c r="D922" t="s">
        <v>2405</v>
      </c>
      <c r="E922">
        <v>2</v>
      </c>
      <c r="F922">
        <v>428.09</v>
      </c>
      <c r="G922" t="s">
        <v>2674</v>
      </c>
      <c r="H922" t="s">
        <v>3067</v>
      </c>
      <c r="I922" t="s">
        <v>3072</v>
      </c>
      <c r="J922" t="s">
        <v>3995</v>
      </c>
      <c r="K922">
        <v>6</v>
      </c>
      <c r="L922" t="s">
        <v>4283</v>
      </c>
      <c r="M922" t="s">
        <v>4278</v>
      </c>
      <c r="N922">
        <v>856.18</v>
      </c>
    </row>
    <row r="923" spans="1:14">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c r="A924" t="s">
        <v>936</v>
      </c>
      <c r="B924" s="2">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c r="A931" t="s">
        <v>943</v>
      </c>
      <c r="B931" s="2">
        <v>45581</v>
      </c>
      <c r="C931" t="s">
        <v>2139</v>
      </c>
      <c r="D931" t="s">
        <v>2405</v>
      </c>
      <c r="E931">
        <v>2</v>
      </c>
      <c r="F931">
        <v>536.25</v>
      </c>
      <c r="G931" t="s">
        <v>2568</v>
      </c>
      <c r="H931" t="s">
        <v>3065</v>
      </c>
      <c r="I931" t="s">
        <v>3074</v>
      </c>
      <c r="J931" t="s">
        <v>4004</v>
      </c>
      <c r="K931">
        <v>3</v>
      </c>
      <c r="L931" t="s">
        <v>4283</v>
      </c>
      <c r="M931" t="s">
        <v>4280</v>
      </c>
      <c r="N931">
        <v>1072.5</v>
      </c>
    </row>
    <row r="932" spans="1:14">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c r="A935" t="s">
        <v>947</v>
      </c>
      <c r="B935" s="2">
        <v>44952</v>
      </c>
      <c r="C935" t="s">
        <v>2143</v>
      </c>
      <c r="D935" t="s">
        <v>2403</v>
      </c>
      <c r="E935">
        <v>2</v>
      </c>
      <c r="F935">
        <v>394.16</v>
      </c>
      <c r="G935" t="s">
        <v>2617</v>
      </c>
      <c r="H935" t="s">
        <v>3066</v>
      </c>
      <c r="I935" t="s">
        <v>3070</v>
      </c>
      <c r="J935" t="s">
        <v>4008</v>
      </c>
      <c r="K935">
        <v>2</v>
      </c>
      <c r="L935" t="s">
        <v>4283</v>
      </c>
      <c r="M935" t="s">
        <v>4279</v>
      </c>
      <c r="N935">
        <v>788.32</v>
      </c>
    </row>
    <row r="936" spans="1:14">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c r="A944" t="s">
        <v>956</v>
      </c>
      <c r="B944" s="2">
        <v>45198</v>
      </c>
      <c r="C944" t="s">
        <v>2151</v>
      </c>
      <c r="D944" t="s">
        <v>2405</v>
      </c>
      <c r="E944">
        <v>1</v>
      </c>
      <c r="F944">
        <v>479.76</v>
      </c>
      <c r="G944" t="s">
        <v>2599</v>
      </c>
      <c r="H944" t="s">
        <v>3067</v>
      </c>
      <c r="I944" t="s">
        <v>3074</v>
      </c>
      <c r="J944" t="s">
        <v>4017</v>
      </c>
      <c r="K944">
        <v>1</v>
      </c>
      <c r="L944" t="s">
        <v>4283</v>
      </c>
      <c r="M944" t="s">
        <v>4280</v>
      </c>
      <c r="N944">
        <v>479.76</v>
      </c>
    </row>
    <row r="945" spans="1:14">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c r="A950" t="s">
        <v>962</v>
      </c>
      <c r="B950" s="2">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c r="A951" t="s">
        <v>963</v>
      </c>
      <c r="B951" s="2">
        <v>45239</v>
      </c>
      <c r="C951" t="s">
        <v>2157</v>
      </c>
      <c r="D951" t="s">
        <v>2409</v>
      </c>
      <c r="E951">
        <v>5</v>
      </c>
      <c r="F951">
        <v>110.38</v>
      </c>
      <c r="G951" t="s">
        <v>2732</v>
      </c>
      <c r="H951" t="s">
        <v>3069</v>
      </c>
      <c r="I951" t="s">
        <v>3074</v>
      </c>
      <c r="J951" t="s">
        <v>4024</v>
      </c>
      <c r="K951">
        <v>10</v>
      </c>
      <c r="L951" t="s">
        <v>4283</v>
      </c>
      <c r="M951" t="s">
        <v>4279</v>
      </c>
      <c r="N951">
        <v>551.9</v>
      </c>
    </row>
    <row r="952" spans="1:14">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c r="A954" t="s">
        <v>966</v>
      </c>
      <c r="B954" s="2">
        <v>45715</v>
      </c>
      <c r="C954" t="s">
        <v>2160</v>
      </c>
      <c r="D954" t="s">
        <v>2403</v>
      </c>
      <c r="E954">
        <v>3</v>
      </c>
      <c r="F954">
        <v>503.39</v>
      </c>
      <c r="G954" t="s">
        <v>2986</v>
      </c>
      <c r="H954" t="s">
        <v>3066</v>
      </c>
      <c r="I954" t="s">
        <v>3074</v>
      </c>
      <c r="J954" t="s">
        <v>4027</v>
      </c>
      <c r="K954">
        <v>5</v>
      </c>
      <c r="L954" t="s">
        <v>4283</v>
      </c>
      <c r="M954" t="s">
        <v>4281</v>
      </c>
      <c r="N954">
        <v>1510.17</v>
      </c>
    </row>
    <row r="955" spans="1:14">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c r="A963" t="s">
        <v>975</v>
      </c>
      <c r="B963" s="2">
        <v>45607</v>
      </c>
      <c r="C963" t="s">
        <v>2168</v>
      </c>
      <c r="D963" t="s">
        <v>2404</v>
      </c>
      <c r="E963">
        <v>1</v>
      </c>
      <c r="F963">
        <v>601.36</v>
      </c>
      <c r="G963" t="s">
        <v>2685</v>
      </c>
      <c r="H963" t="s">
        <v>3066</v>
      </c>
      <c r="I963" t="s">
        <v>3070</v>
      </c>
      <c r="J963" t="s">
        <v>4036</v>
      </c>
      <c r="K963">
        <v>1</v>
      </c>
      <c r="L963" t="s">
        <v>4283</v>
      </c>
      <c r="M963" t="s">
        <v>4281</v>
      </c>
      <c r="N963">
        <v>601.36</v>
      </c>
    </row>
    <row r="964" spans="1:14">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c r="A976" t="s">
        <v>988</v>
      </c>
      <c r="B976" s="2">
        <v>45196</v>
      </c>
      <c r="C976" t="s">
        <v>2181</v>
      </c>
      <c r="D976" t="s">
        <v>2409</v>
      </c>
      <c r="E976">
        <v>5</v>
      </c>
      <c r="F976">
        <v>266.77999999999997</v>
      </c>
      <c r="G976" t="s">
        <v>2673</v>
      </c>
      <c r="H976" t="s">
        <v>3068</v>
      </c>
      <c r="I976" t="s">
        <v>3071</v>
      </c>
      <c r="J976" t="s">
        <v>4049</v>
      </c>
      <c r="K976">
        <v>5</v>
      </c>
      <c r="L976" t="s">
        <v>4283</v>
      </c>
      <c r="M976" t="s">
        <v>4280</v>
      </c>
      <c r="N976">
        <v>1333.9</v>
      </c>
    </row>
    <row r="977" spans="1:14">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c r="A980" t="s">
        <v>992</v>
      </c>
      <c r="B980" s="2">
        <v>45468</v>
      </c>
      <c r="C980" t="s">
        <v>2185</v>
      </c>
      <c r="D980" t="s">
        <v>2407</v>
      </c>
      <c r="E980">
        <v>4</v>
      </c>
      <c r="F980">
        <v>107.49</v>
      </c>
      <c r="G980" t="s">
        <v>2887</v>
      </c>
      <c r="H980" t="s">
        <v>3069</v>
      </c>
      <c r="I980" t="s">
        <v>3073</v>
      </c>
      <c r="J980" t="s">
        <v>4053</v>
      </c>
      <c r="K980">
        <v>5</v>
      </c>
      <c r="L980" t="s">
        <v>4283</v>
      </c>
      <c r="M980" t="s">
        <v>4282</v>
      </c>
      <c r="N980">
        <v>429.96</v>
      </c>
    </row>
    <row r="981" spans="1:14">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t="s">
        <v>1015</v>
      </c>
      <c r="B1003" s="2">
        <v>45268</v>
      </c>
      <c r="C1003" t="s">
        <v>2208</v>
      </c>
      <c r="D1003" t="s">
        <v>2407</v>
      </c>
      <c r="E1003">
        <v>2</v>
      </c>
      <c r="F1003">
        <v>253.68</v>
      </c>
      <c r="G1003" t="s">
        <v>2518</v>
      </c>
      <c r="H1003" t="s">
        <v>3068</v>
      </c>
      <c r="I1003" t="s">
        <v>3070</v>
      </c>
      <c r="J1003" t="s">
        <v>4076</v>
      </c>
      <c r="K1003">
        <v>6</v>
      </c>
      <c r="L1003" t="s">
        <v>4283</v>
      </c>
      <c r="M1003" t="s">
        <v>4279</v>
      </c>
      <c r="N1003">
        <v>507.36</v>
      </c>
    </row>
    <row r="1004" spans="1:14">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c r="A1007" t="s">
        <v>1019</v>
      </c>
      <c r="B1007" s="2">
        <v>44987</v>
      </c>
      <c r="C1007" t="s">
        <v>2212</v>
      </c>
      <c r="D1007" t="s">
        <v>2407</v>
      </c>
      <c r="E1007">
        <v>3</v>
      </c>
      <c r="F1007">
        <v>392.85</v>
      </c>
      <c r="G1007" t="s">
        <v>2929</v>
      </c>
      <c r="H1007" t="s">
        <v>3067</v>
      </c>
      <c r="I1007" t="s">
        <v>3072</v>
      </c>
      <c r="J1007" t="s">
        <v>4080</v>
      </c>
      <c r="K1007">
        <v>6</v>
      </c>
      <c r="L1007" t="s">
        <v>4283</v>
      </c>
      <c r="M1007" t="s">
        <v>4282</v>
      </c>
      <c r="N1007">
        <v>1178.55</v>
      </c>
    </row>
    <row r="1008" spans="1:14">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t="s">
        <v>1025</v>
      </c>
      <c r="B1013" s="2">
        <v>45629</v>
      </c>
      <c r="C1013" t="s">
        <v>2217</v>
      </c>
      <c r="D1013" t="s">
        <v>2404</v>
      </c>
      <c r="E1013">
        <v>2</v>
      </c>
      <c r="F1013">
        <v>478.36</v>
      </c>
      <c r="G1013" t="s">
        <v>2646</v>
      </c>
      <c r="H1013" t="s">
        <v>3066</v>
      </c>
      <c r="I1013" t="s">
        <v>3070</v>
      </c>
      <c r="J1013" t="s">
        <v>4086</v>
      </c>
      <c r="K1013">
        <v>3</v>
      </c>
      <c r="L1013" t="s">
        <v>4283</v>
      </c>
      <c r="M1013" t="s">
        <v>4282</v>
      </c>
      <c r="N1013">
        <v>956.72</v>
      </c>
    </row>
    <row r="1014" spans="1:14">
      <c r="A1014" t="s">
        <v>1026</v>
      </c>
      <c r="B1014" s="2">
        <v>45629</v>
      </c>
      <c r="C1014" t="s">
        <v>2218</v>
      </c>
      <c r="D1014" t="s">
        <v>2407</v>
      </c>
      <c r="E1014">
        <v>4</v>
      </c>
      <c r="F1014">
        <v>30.05</v>
      </c>
      <c r="G1014" t="s">
        <v>2676</v>
      </c>
      <c r="H1014" t="s">
        <v>3066</v>
      </c>
      <c r="I1014" t="s">
        <v>3072</v>
      </c>
      <c r="J1014" t="s">
        <v>4087</v>
      </c>
      <c r="K1014">
        <v>6</v>
      </c>
      <c r="L1014" t="s">
        <v>4283</v>
      </c>
      <c r="M1014" t="s">
        <v>4281</v>
      </c>
      <c r="N1014">
        <v>120.2</v>
      </c>
    </row>
    <row r="1015" spans="1:14">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c r="A1020" t="s">
        <v>1032</v>
      </c>
      <c r="B1020" s="2">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t="s">
        <v>1037</v>
      </c>
      <c r="B1025" s="2">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c r="A1029" t="s">
        <v>1041</v>
      </c>
      <c r="B1029" s="2">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c r="A1030" t="s">
        <v>1042</v>
      </c>
      <c r="B1030" s="2">
        <v>44974</v>
      </c>
      <c r="C1030" t="s">
        <v>2234</v>
      </c>
      <c r="D1030" t="s">
        <v>2409</v>
      </c>
      <c r="E1030">
        <v>4</v>
      </c>
      <c r="F1030">
        <v>440.31</v>
      </c>
      <c r="G1030" t="s">
        <v>2610</v>
      </c>
      <c r="H1030" t="s">
        <v>3069</v>
      </c>
      <c r="I1030" t="s">
        <v>3071</v>
      </c>
      <c r="J1030" t="s">
        <v>4103</v>
      </c>
      <c r="K1030">
        <v>6</v>
      </c>
      <c r="L1030" t="s">
        <v>4283</v>
      </c>
      <c r="M1030" t="s">
        <v>4278</v>
      </c>
      <c r="N1030">
        <v>1761.24</v>
      </c>
    </row>
    <row r="1031" spans="1:14">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t="s">
        <v>1049</v>
      </c>
      <c r="B1037" s="2">
        <v>45242</v>
      </c>
      <c r="C1037" t="s">
        <v>2241</v>
      </c>
      <c r="D1037" t="s">
        <v>2408</v>
      </c>
      <c r="E1037">
        <v>4</v>
      </c>
      <c r="F1037">
        <v>506.11</v>
      </c>
      <c r="G1037" t="s">
        <v>3009</v>
      </c>
      <c r="H1037" t="s">
        <v>3069</v>
      </c>
      <c r="I1037" t="s">
        <v>3071</v>
      </c>
      <c r="J1037" t="s">
        <v>4110</v>
      </c>
      <c r="K1037">
        <v>5</v>
      </c>
      <c r="L1037" t="s">
        <v>4283</v>
      </c>
      <c r="M1037" t="s">
        <v>4279</v>
      </c>
      <c r="N1037">
        <v>2024.44</v>
      </c>
    </row>
    <row r="1038" spans="1:14">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c r="A1040" t="s">
        <v>1052</v>
      </c>
      <c r="B1040" s="2">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c r="A1045" t="s">
        <v>1057</v>
      </c>
      <c r="B1045" s="2">
        <v>45668</v>
      </c>
      <c r="C1045" t="s">
        <v>2249</v>
      </c>
      <c r="D1045" t="s">
        <v>2405</v>
      </c>
      <c r="E1045">
        <v>2</v>
      </c>
      <c r="F1045">
        <v>179.96</v>
      </c>
      <c r="G1045" t="s">
        <v>2991</v>
      </c>
      <c r="H1045" t="s">
        <v>3068</v>
      </c>
      <c r="I1045" t="s">
        <v>3070</v>
      </c>
      <c r="J1045" t="s">
        <v>4118</v>
      </c>
      <c r="K1045">
        <v>5</v>
      </c>
      <c r="L1045" t="s">
        <v>4283</v>
      </c>
      <c r="M1045" t="s">
        <v>4278</v>
      </c>
      <c r="N1045">
        <v>359.92</v>
      </c>
    </row>
    <row r="1046" spans="1:14">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c r="A1047" t="s">
        <v>1059</v>
      </c>
      <c r="B1047" s="2">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t="s">
        <v>1062</v>
      </c>
      <c r="B1050" s="2">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c r="A1051" t="s">
        <v>1063</v>
      </c>
      <c r="B1051" s="2">
        <v>45491</v>
      </c>
      <c r="C1051" t="s">
        <v>2255</v>
      </c>
      <c r="D1051" t="s">
        <v>2409</v>
      </c>
      <c r="E1051">
        <v>5</v>
      </c>
      <c r="F1051">
        <v>391.86</v>
      </c>
      <c r="G1051" t="s">
        <v>2430</v>
      </c>
      <c r="H1051" t="s">
        <v>3067</v>
      </c>
      <c r="I1051" t="s">
        <v>3070</v>
      </c>
      <c r="J1051" t="s">
        <v>4124</v>
      </c>
      <c r="K1051">
        <v>6</v>
      </c>
      <c r="L1051" t="s">
        <v>4283</v>
      </c>
      <c r="M1051" t="s">
        <v>4278</v>
      </c>
      <c r="N1051">
        <v>1959.3</v>
      </c>
    </row>
    <row r="1052" spans="1:14">
      <c r="A1052" t="s">
        <v>1064</v>
      </c>
      <c r="B1052" s="2">
        <v>45158</v>
      </c>
      <c r="C1052" t="s">
        <v>2256</v>
      </c>
      <c r="D1052" t="s">
        <v>2408</v>
      </c>
      <c r="E1052">
        <v>5</v>
      </c>
      <c r="F1052">
        <v>69.7</v>
      </c>
      <c r="G1052" t="s">
        <v>2805</v>
      </c>
      <c r="H1052" t="s">
        <v>3066</v>
      </c>
      <c r="I1052" t="s">
        <v>3072</v>
      </c>
      <c r="J1052" t="s">
        <v>4125</v>
      </c>
      <c r="K1052">
        <v>9</v>
      </c>
      <c r="L1052" t="s">
        <v>4283</v>
      </c>
      <c r="M1052" t="s">
        <v>4278</v>
      </c>
      <c r="N1052">
        <v>348.5</v>
      </c>
    </row>
    <row r="1053" spans="1:14">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t="s">
        <v>1076</v>
      </c>
      <c r="B1064" s="2">
        <v>45161</v>
      </c>
      <c r="C1064" t="s">
        <v>2268</v>
      </c>
      <c r="D1064" t="s">
        <v>2406</v>
      </c>
      <c r="E1064">
        <v>5</v>
      </c>
      <c r="F1064">
        <v>85.52</v>
      </c>
      <c r="G1064" t="s">
        <v>2676</v>
      </c>
      <c r="H1064" t="s">
        <v>3068</v>
      </c>
      <c r="I1064" t="s">
        <v>3071</v>
      </c>
      <c r="J1064" t="s">
        <v>4137</v>
      </c>
      <c r="K1064">
        <v>5</v>
      </c>
      <c r="L1064" t="s">
        <v>4283</v>
      </c>
      <c r="M1064" t="s">
        <v>4281</v>
      </c>
      <c r="N1064">
        <v>427.6</v>
      </c>
    </row>
    <row r="1065" spans="1:14">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c r="A1069" t="s">
        <v>1081</v>
      </c>
      <c r="B1069" s="2">
        <v>45083</v>
      </c>
      <c r="C1069" t="s">
        <v>2273</v>
      </c>
      <c r="D1069" t="s">
        <v>2404</v>
      </c>
      <c r="E1069">
        <v>2</v>
      </c>
      <c r="F1069">
        <v>316.2</v>
      </c>
      <c r="G1069" t="s">
        <v>2475</v>
      </c>
      <c r="H1069" t="s">
        <v>3066</v>
      </c>
      <c r="I1069" t="s">
        <v>3072</v>
      </c>
      <c r="J1069" t="s">
        <v>4142</v>
      </c>
      <c r="K1069">
        <v>2</v>
      </c>
      <c r="L1069" t="s">
        <v>4283</v>
      </c>
      <c r="M1069" t="s">
        <v>4278</v>
      </c>
      <c r="N1069">
        <v>632.4</v>
      </c>
    </row>
    <row r="1070" spans="1:14">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t="s">
        <v>1083</v>
      </c>
      <c r="B1071" s="2">
        <v>44982</v>
      </c>
      <c r="C1071" t="s">
        <v>2275</v>
      </c>
      <c r="D1071" t="s">
        <v>2403</v>
      </c>
      <c r="E1071">
        <v>1</v>
      </c>
      <c r="F1071">
        <v>454.23</v>
      </c>
      <c r="G1071" t="s">
        <v>2617</v>
      </c>
      <c r="H1071" t="s">
        <v>3068</v>
      </c>
      <c r="I1071" t="s">
        <v>3072</v>
      </c>
      <c r="J1071" t="s">
        <v>4144</v>
      </c>
      <c r="K1071">
        <v>3</v>
      </c>
      <c r="L1071" t="s">
        <v>4283</v>
      </c>
      <c r="M1071" t="s">
        <v>4281</v>
      </c>
      <c r="N1071">
        <v>454.23</v>
      </c>
    </row>
    <row r="1072" spans="1:14">
      <c r="A1072" t="s">
        <v>1084</v>
      </c>
      <c r="B1072" s="2">
        <v>45541</v>
      </c>
      <c r="C1072" t="s">
        <v>2276</v>
      </c>
      <c r="D1072" t="s">
        <v>2409</v>
      </c>
      <c r="E1072">
        <v>4</v>
      </c>
      <c r="F1072">
        <v>491.29</v>
      </c>
      <c r="G1072" t="s">
        <v>2485</v>
      </c>
      <c r="H1072" t="s">
        <v>3065</v>
      </c>
      <c r="I1072" t="s">
        <v>3074</v>
      </c>
      <c r="J1072" t="s">
        <v>4145</v>
      </c>
      <c r="K1072">
        <v>6</v>
      </c>
      <c r="L1072" t="s">
        <v>4283</v>
      </c>
      <c r="M1072" t="s">
        <v>4280</v>
      </c>
      <c r="N1072">
        <v>1965.16</v>
      </c>
    </row>
    <row r="1073" spans="1:14">
      <c r="A1073" t="s">
        <v>1085</v>
      </c>
      <c r="B1073" s="2">
        <v>45832</v>
      </c>
      <c r="C1073" t="s">
        <v>2277</v>
      </c>
      <c r="D1073" t="s">
        <v>2404</v>
      </c>
      <c r="E1073">
        <v>2</v>
      </c>
      <c r="F1073">
        <v>255.14</v>
      </c>
      <c r="G1073" t="s">
        <v>2717</v>
      </c>
      <c r="H1073" t="s">
        <v>3069</v>
      </c>
      <c r="I1073" t="s">
        <v>3070</v>
      </c>
      <c r="J1073" t="s">
        <v>4146</v>
      </c>
      <c r="K1073">
        <v>2</v>
      </c>
      <c r="L1073" t="s">
        <v>4283</v>
      </c>
      <c r="M1073" t="s">
        <v>4282</v>
      </c>
      <c r="N1073">
        <v>510.28</v>
      </c>
    </row>
    <row r="1074" spans="1:14">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c r="A1075" t="s">
        <v>1087</v>
      </c>
      <c r="B1075" s="2">
        <v>45576</v>
      </c>
      <c r="C1075" t="s">
        <v>2279</v>
      </c>
      <c r="D1075" t="s">
        <v>2405</v>
      </c>
      <c r="E1075">
        <v>4</v>
      </c>
      <c r="F1075">
        <v>362.06</v>
      </c>
      <c r="G1075" t="s">
        <v>2631</v>
      </c>
      <c r="H1075" t="s">
        <v>3065</v>
      </c>
      <c r="I1075" t="s">
        <v>3072</v>
      </c>
      <c r="J1075" t="s">
        <v>4148</v>
      </c>
      <c r="K1075">
        <v>4</v>
      </c>
      <c r="L1075" t="s">
        <v>4283</v>
      </c>
      <c r="M1075" t="s">
        <v>4281</v>
      </c>
      <c r="N1075">
        <v>1448.24</v>
      </c>
    </row>
    <row r="1076" spans="1:14">
      <c r="A1076" t="s">
        <v>1088</v>
      </c>
      <c r="B1076" s="2">
        <v>45422</v>
      </c>
      <c r="C1076" t="s">
        <v>2280</v>
      </c>
      <c r="D1076" t="s">
        <v>2404</v>
      </c>
      <c r="E1076">
        <v>1</v>
      </c>
      <c r="F1076">
        <v>222.73</v>
      </c>
      <c r="G1076" t="s">
        <v>3021</v>
      </c>
      <c r="H1076" t="s">
        <v>3066</v>
      </c>
      <c r="I1076" t="s">
        <v>3072</v>
      </c>
      <c r="J1076" t="s">
        <v>4149</v>
      </c>
      <c r="K1076">
        <v>4</v>
      </c>
      <c r="L1076" t="s">
        <v>4283</v>
      </c>
      <c r="M1076" t="s">
        <v>4282</v>
      </c>
      <c r="N1076">
        <v>222.73</v>
      </c>
    </row>
    <row r="1077" spans="1:14">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t="s">
        <v>1090</v>
      </c>
      <c r="B1078" s="2">
        <v>45054</v>
      </c>
      <c r="C1078" t="s">
        <v>2282</v>
      </c>
      <c r="D1078" t="s">
        <v>2408</v>
      </c>
      <c r="E1078">
        <v>4</v>
      </c>
      <c r="F1078">
        <v>686.61</v>
      </c>
      <c r="G1078" t="s">
        <v>3005</v>
      </c>
      <c r="H1078" t="s">
        <v>3069</v>
      </c>
      <c r="I1078" t="s">
        <v>3070</v>
      </c>
      <c r="J1078" t="s">
        <v>4151</v>
      </c>
      <c r="K1078">
        <v>6</v>
      </c>
      <c r="L1078" t="s">
        <v>4283</v>
      </c>
      <c r="M1078" t="s">
        <v>4279</v>
      </c>
      <c r="N1078">
        <v>2746.44</v>
      </c>
    </row>
    <row r="1079" spans="1:14">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c r="A1081" t="s">
        <v>1093</v>
      </c>
      <c r="B1081" s="2">
        <v>45463</v>
      </c>
      <c r="C1081" t="s">
        <v>2285</v>
      </c>
      <c r="D1081" t="s">
        <v>2404</v>
      </c>
      <c r="E1081">
        <v>5</v>
      </c>
      <c r="F1081">
        <v>634</v>
      </c>
      <c r="G1081" t="s">
        <v>2980</v>
      </c>
      <c r="H1081" t="s">
        <v>3068</v>
      </c>
      <c r="I1081" t="s">
        <v>3073</v>
      </c>
      <c r="J1081" t="s">
        <v>4154</v>
      </c>
      <c r="K1081">
        <v>8</v>
      </c>
      <c r="L1081" t="s">
        <v>4283</v>
      </c>
      <c r="M1081" t="s">
        <v>4280</v>
      </c>
      <c r="N1081">
        <v>3170</v>
      </c>
    </row>
    <row r="1082" spans="1:14">
      <c r="A1082" t="s">
        <v>1094</v>
      </c>
      <c r="B1082" s="2">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t="s">
        <v>1103</v>
      </c>
      <c r="B1091" s="2">
        <v>45731</v>
      </c>
      <c r="C1091" t="s">
        <v>2295</v>
      </c>
      <c r="D1091" t="s">
        <v>2405</v>
      </c>
      <c r="E1091">
        <v>2</v>
      </c>
      <c r="F1091">
        <v>599.74</v>
      </c>
      <c r="G1091" t="s">
        <v>2473</v>
      </c>
      <c r="H1091" t="s">
        <v>3068</v>
      </c>
      <c r="I1091" t="s">
        <v>3070</v>
      </c>
      <c r="J1091" t="s">
        <v>4164</v>
      </c>
      <c r="K1091">
        <v>2</v>
      </c>
      <c r="L1091" t="s">
        <v>4283</v>
      </c>
      <c r="M1091" t="s">
        <v>4278</v>
      </c>
      <c r="N1091">
        <v>1199.48</v>
      </c>
    </row>
    <row r="1092" spans="1:14">
      <c r="A1092" t="s">
        <v>1104</v>
      </c>
      <c r="B1092" s="2">
        <v>44982</v>
      </c>
      <c r="C1092" t="s">
        <v>2296</v>
      </c>
      <c r="D1092" t="s">
        <v>2403</v>
      </c>
      <c r="E1092">
        <v>2</v>
      </c>
      <c r="F1092">
        <v>650.25</v>
      </c>
      <c r="G1092" t="s">
        <v>2441</v>
      </c>
      <c r="H1092" t="s">
        <v>3068</v>
      </c>
      <c r="I1092" t="s">
        <v>3072</v>
      </c>
      <c r="J1092" t="s">
        <v>4165</v>
      </c>
      <c r="K1092">
        <v>6</v>
      </c>
      <c r="L1092" t="s">
        <v>4283</v>
      </c>
      <c r="M1092" t="s">
        <v>4278</v>
      </c>
      <c r="N1092">
        <v>1300.5</v>
      </c>
    </row>
    <row r="1093" spans="1:14">
      <c r="A1093" t="s">
        <v>1105</v>
      </c>
      <c r="B1093" s="2">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c r="A1098" t="s">
        <v>1110</v>
      </c>
      <c r="B1098" s="2">
        <v>45780</v>
      </c>
      <c r="C1098" t="s">
        <v>2302</v>
      </c>
      <c r="D1098" t="s">
        <v>2405</v>
      </c>
      <c r="E1098">
        <v>2</v>
      </c>
      <c r="F1098">
        <v>464.92</v>
      </c>
      <c r="G1098" t="s">
        <v>3029</v>
      </c>
      <c r="H1098" t="s">
        <v>3065</v>
      </c>
      <c r="I1098" t="s">
        <v>3072</v>
      </c>
      <c r="J1098" t="s">
        <v>4171</v>
      </c>
      <c r="K1098">
        <v>2</v>
      </c>
      <c r="L1098" t="s">
        <v>4283</v>
      </c>
      <c r="M1098" t="s">
        <v>4281</v>
      </c>
      <c r="N1098">
        <v>929.84</v>
      </c>
    </row>
    <row r="1099" spans="1:14">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t="s">
        <v>1112</v>
      </c>
      <c r="B1100" s="2">
        <v>45094</v>
      </c>
      <c r="C1100" t="s">
        <v>2304</v>
      </c>
      <c r="D1100" t="s">
        <v>2403</v>
      </c>
      <c r="E1100">
        <v>4</v>
      </c>
      <c r="F1100">
        <v>255.86</v>
      </c>
      <c r="G1100" t="s">
        <v>3031</v>
      </c>
      <c r="H1100" t="s">
        <v>3067</v>
      </c>
      <c r="I1100" t="s">
        <v>3073</v>
      </c>
      <c r="J1100" t="s">
        <v>4173</v>
      </c>
      <c r="K1100">
        <v>7</v>
      </c>
      <c r="L1100" t="s">
        <v>4283</v>
      </c>
      <c r="M1100" t="s">
        <v>4280</v>
      </c>
      <c r="N1100">
        <v>1023.44</v>
      </c>
    </row>
    <row r="1101" spans="1:14">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c r="A1104" t="s">
        <v>1116</v>
      </c>
      <c r="B1104" s="2">
        <v>45446</v>
      </c>
      <c r="C1104" t="s">
        <v>1228</v>
      </c>
      <c r="D1104" t="s">
        <v>2406</v>
      </c>
      <c r="E1104">
        <v>4</v>
      </c>
      <c r="F1104">
        <v>347.17</v>
      </c>
      <c r="G1104" t="s">
        <v>2904</v>
      </c>
      <c r="H1104" t="s">
        <v>3065</v>
      </c>
      <c r="I1104" t="s">
        <v>3070</v>
      </c>
      <c r="J1104" t="s">
        <v>4177</v>
      </c>
      <c r="K1104">
        <v>8</v>
      </c>
      <c r="L1104" t="s">
        <v>4283</v>
      </c>
      <c r="M1104" t="s">
        <v>4278</v>
      </c>
      <c r="N1104">
        <v>1388.68</v>
      </c>
    </row>
    <row r="1105" spans="1:14">
      <c r="A1105" t="s">
        <v>1117</v>
      </c>
      <c r="B1105" s="2">
        <v>45040</v>
      </c>
      <c r="C1105" t="s">
        <v>2308</v>
      </c>
      <c r="D1105" t="s">
        <v>2408</v>
      </c>
      <c r="E1105">
        <v>4</v>
      </c>
      <c r="F1105">
        <v>276.32</v>
      </c>
      <c r="G1105" t="s">
        <v>2477</v>
      </c>
      <c r="H1105" t="s">
        <v>3066</v>
      </c>
      <c r="I1105" t="s">
        <v>3073</v>
      </c>
      <c r="J1105" t="s">
        <v>4178</v>
      </c>
      <c r="K1105">
        <v>5</v>
      </c>
      <c r="L1105" t="s">
        <v>4283</v>
      </c>
      <c r="M1105" t="s">
        <v>4282</v>
      </c>
      <c r="N1105">
        <v>1105.28</v>
      </c>
    </row>
    <row r="1106" spans="1:14">
      <c r="A1106" t="s">
        <v>1118</v>
      </c>
      <c r="B1106" s="2">
        <v>45498</v>
      </c>
      <c r="C1106" t="s">
        <v>2309</v>
      </c>
      <c r="D1106" t="s">
        <v>2405</v>
      </c>
      <c r="E1106">
        <v>4</v>
      </c>
      <c r="F1106">
        <v>314.76</v>
      </c>
      <c r="G1106" t="s">
        <v>3033</v>
      </c>
      <c r="H1106" t="s">
        <v>3066</v>
      </c>
      <c r="I1106" t="s">
        <v>3070</v>
      </c>
      <c r="J1106" t="s">
        <v>4179</v>
      </c>
      <c r="K1106">
        <v>8</v>
      </c>
      <c r="L1106" t="s">
        <v>4283</v>
      </c>
      <c r="M1106" t="s">
        <v>4278</v>
      </c>
      <c r="N1106">
        <v>1259.04</v>
      </c>
    </row>
    <row r="1107" spans="1:14">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c r="A1115" t="s">
        <v>1127</v>
      </c>
      <c r="B1115" s="2">
        <v>45004</v>
      </c>
      <c r="C1115" t="s">
        <v>2318</v>
      </c>
      <c r="D1115" t="s">
        <v>2409</v>
      </c>
      <c r="E1115">
        <v>4</v>
      </c>
      <c r="F1115">
        <v>209.99</v>
      </c>
      <c r="G1115" t="s">
        <v>2982</v>
      </c>
      <c r="H1115" t="s">
        <v>3069</v>
      </c>
      <c r="I1115" t="s">
        <v>3073</v>
      </c>
      <c r="J1115" t="s">
        <v>4188</v>
      </c>
      <c r="K1115">
        <v>8</v>
      </c>
      <c r="L1115" t="s">
        <v>4283</v>
      </c>
      <c r="M1115" t="s">
        <v>4282</v>
      </c>
      <c r="N1115">
        <v>839.96</v>
      </c>
    </row>
    <row r="1116" spans="1:14">
      <c r="A1116" t="s">
        <v>1128</v>
      </c>
      <c r="B1116" s="2">
        <v>45001</v>
      </c>
      <c r="C1116" t="s">
        <v>2319</v>
      </c>
      <c r="D1116" t="s">
        <v>2405</v>
      </c>
      <c r="E1116">
        <v>3</v>
      </c>
      <c r="F1116">
        <v>659.88</v>
      </c>
      <c r="G1116" t="s">
        <v>2591</v>
      </c>
      <c r="H1116" t="s">
        <v>3068</v>
      </c>
      <c r="I1116" t="s">
        <v>3071</v>
      </c>
      <c r="J1116" t="s">
        <v>4189</v>
      </c>
      <c r="K1116">
        <v>3</v>
      </c>
      <c r="L1116" t="s">
        <v>4283</v>
      </c>
      <c r="M1116" t="s">
        <v>4282</v>
      </c>
      <c r="N1116">
        <v>1979.64</v>
      </c>
    </row>
    <row r="1117" spans="1:14">
      <c r="A1117" t="s">
        <v>1129</v>
      </c>
      <c r="B1117" s="2">
        <v>45828</v>
      </c>
      <c r="C1117" t="s">
        <v>2320</v>
      </c>
      <c r="D1117" t="s">
        <v>2408</v>
      </c>
      <c r="E1117">
        <v>2</v>
      </c>
      <c r="F1117">
        <v>336.32</v>
      </c>
      <c r="G1117" t="s">
        <v>2613</v>
      </c>
      <c r="H1117" t="s">
        <v>3066</v>
      </c>
      <c r="I1117" t="s">
        <v>3072</v>
      </c>
      <c r="J1117" t="s">
        <v>4190</v>
      </c>
      <c r="K1117">
        <v>3</v>
      </c>
      <c r="L1117" t="s">
        <v>4283</v>
      </c>
      <c r="M1117" t="s">
        <v>4282</v>
      </c>
      <c r="N1117">
        <v>672.64</v>
      </c>
    </row>
    <row r="1118" spans="1:14">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t="s">
        <v>1132</v>
      </c>
      <c r="B1120" s="2">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c r="A1122" t="s">
        <v>1134</v>
      </c>
      <c r="B1122" s="2">
        <v>45787</v>
      </c>
      <c r="C1122" t="s">
        <v>2325</v>
      </c>
      <c r="D1122" t="s">
        <v>2405</v>
      </c>
      <c r="E1122">
        <v>1</v>
      </c>
      <c r="F1122">
        <v>195.86</v>
      </c>
      <c r="G1122" t="s">
        <v>2450</v>
      </c>
      <c r="H1122" t="s">
        <v>3066</v>
      </c>
      <c r="I1122" t="s">
        <v>3074</v>
      </c>
      <c r="J1122" t="s">
        <v>4195</v>
      </c>
      <c r="K1122">
        <v>3</v>
      </c>
      <c r="L1122" t="s">
        <v>4283</v>
      </c>
      <c r="M1122" t="s">
        <v>4281</v>
      </c>
      <c r="N1122">
        <v>195.86</v>
      </c>
    </row>
    <row r="1123" spans="1:14">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t="s">
        <v>1136</v>
      </c>
      <c r="B1124" s="2">
        <v>45084</v>
      </c>
      <c r="C1124" t="s">
        <v>1480</v>
      </c>
      <c r="D1124" t="s">
        <v>2403</v>
      </c>
      <c r="E1124">
        <v>5</v>
      </c>
      <c r="F1124">
        <v>678.19</v>
      </c>
      <c r="G1124" t="s">
        <v>3008</v>
      </c>
      <c r="H1124" t="s">
        <v>3066</v>
      </c>
      <c r="I1124" t="s">
        <v>3072</v>
      </c>
      <c r="J1124" t="s">
        <v>4197</v>
      </c>
      <c r="K1124">
        <v>8</v>
      </c>
      <c r="L1124" t="s">
        <v>4283</v>
      </c>
      <c r="M1124" t="s">
        <v>4281</v>
      </c>
      <c r="N1124">
        <v>3390.95</v>
      </c>
    </row>
    <row r="1125" spans="1:14">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t="s">
        <v>1138</v>
      </c>
      <c r="B1126" s="2">
        <v>45055</v>
      </c>
      <c r="C1126" t="s">
        <v>2328</v>
      </c>
      <c r="D1126" t="s">
        <v>2406</v>
      </c>
      <c r="E1126">
        <v>4</v>
      </c>
      <c r="F1126">
        <v>576.87</v>
      </c>
      <c r="G1126" t="s">
        <v>3037</v>
      </c>
      <c r="H1126" t="s">
        <v>3068</v>
      </c>
      <c r="I1126" t="s">
        <v>3072</v>
      </c>
      <c r="J1126" t="s">
        <v>4199</v>
      </c>
      <c r="K1126">
        <v>5</v>
      </c>
      <c r="L1126" t="s">
        <v>4283</v>
      </c>
      <c r="M1126" t="s">
        <v>4278</v>
      </c>
      <c r="N1126">
        <v>2307.48</v>
      </c>
    </row>
    <row r="1127" spans="1:14">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t="s">
        <v>1152</v>
      </c>
      <c r="B1140" s="2">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t="s">
        <v>1154</v>
      </c>
      <c r="B1142" s="2">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c r="A1143" t="s">
        <v>1155</v>
      </c>
      <c r="B1143" s="2">
        <v>45704</v>
      </c>
      <c r="C1143" t="s">
        <v>2344</v>
      </c>
      <c r="D1143" t="s">
        <v>2406</v>
      </c>
      <c r="E1143">
        <v>3</v>
      </c>
      <c r="F1143">
        <v>498.66</v>
      </c>
      <c r="G1143" t="s">
        <v>2427</v>
      </c>
      <c r="H1143" t="s">
        <v>3069</v>
      </c>
      <c r="I1143" t="s">
        <v>3071</v>
      </c>
      <c r="J1143" t="s">
        <v>4216</v>
      </c>
      <c r="K1143">
        <v>6</v>
      </c>
      <c r="L1143" t="s">
        <v>4283</v>
      </c>
      <c r="M1143" t="s">
        <v>4280</v>
      </c>
      <c r="N1143">
        <v>1495.98</v>
      </c>
    </row>
    <row r="1144" spans="1:14">
      <c r="A1144" t="s">
        <v>1156</v>
      </c>
      <c r="B1144" s="2">
        <v>45527</v>
      </c>
      <c r="C1144" t="s">
        <v>2345</v>
      </c>
      <c r="D1144" t="s">
        <v>2404</v>
      </c>
      <c r="E1144">
        <v>4</v>
      </c>
      <c r="F1144">
        <v>695.1</v>
      </c>
      <c r="G1144" t="s">
        <v>3041</v>
      </c>
      <c r="H1144" t="s">
        <v>3065</v>
      </c>
      <c r="I1144" t="s">
        <v>3072</v>
      </c>
      <c r="J1144" t="s">
        <v>4217</v>
      </c>
      <c r="K1144">
        <v>8</v>
      </c>
      <c r="L1144" t="s">
        <v>4283</v>
      </c>
      <c r="M1144" t="s">
        <v>4280</v>
      </c>
      <c r="N1144">
        <v>2780.4</v>
      </c>
    </row>
    <row r="1145" spans="1:14">
      <c r="A1145" t="s">
        <v>1157</v>
      </c>
      <c r="B1145" s="2">
        <v>45019</v>
      </c>
      <c r="C1145" t="s">
        <v>2346</v>
      </c>
      <c r="D1145" t="s">
        <v>2406</v>
      </c>
      <c r="E1145">
        <v>1</v>
      </c>
      <c r="F1145">
        <v>381.61</v>
      </c>
      <c r="G1145" t="s">
        <v>3042</v>
      </c>
      <c r="H1145" t="s">
        <v>3065</v>
      </c>
      <c r="I1145" t="s">
        <v>3074</v>
      </c>
      <c r="J1145" t="s">
        <v>4218</v>
      </c>
      <c r="K1145">
        <v>5</v>
      </c>
      <c r="L1145" t="s">
        <v>4283</v>
      </c>
      <c r="M1145" t="s">
        <v>4280</v>
      </c>
      <c r="N1145">
        <v>381.61</v>
      </c>
    </row>
    <row r="1146" spans="1:14">
      <c r="A1146" t="s">
        <v>1158</v>
      </c>
      <c r="B1146" s="2">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t="s">
        <v>1165</v>
      </c>
      <c r="B1153" s="2">
        <v>44955</v>
      </c>
      <c r="C1153" t="s">
        <v>2354</v>
      </c>
      <c r="D1153" t="s">
        <v>2406</v>
      </c>
      <c r="E1153">
        <v>2</v>
      </c>
      <c r="F1153">
        <v>608.04</v>
      </c>
      <c r="G1153" t="s">
        <v>3047</v>
      </c>
      <c r="H1153" t="s">
        <v>3069</v>
      </c>
      <c r="I1153" t="s">
        <v>3071</v>
      </c>
      <c r="J1153" t="s">
        <v>4226</v>
      </c>
      <c r="K1153">
        <v>4</v>
      </c>
      <c r="L1153" t="s">
        <v>4283</v>
      </c>
      <c r="M1153" t="s">
        <v>4282</v>
      </c>
      <c r="N1153">
        <v>1216.08</v>
      </c>
    </row>
    <row r="1154" spans="1:14">
      <c r="A1154" t="s">
        <v>1166</v>
      </c>
      <c r="B1154" s="2">
        <v>45239</v>
      </c>
      <c r="C1154" t="s">
        <v>2355</v>
      </c>
      <c r="D1154" t="s">
        <v>2405</v>
      </c>
      <c r="E1154">
        <v>2</v>
      </c>
      <c r="F1154">
        <v>344.18</v>
      </c>
      <c r="G1154" t="s">
        <v>2501</v>
      </c>
      <c r="H1154" t="s">
        <v>3067</v>
      </c>
      <c r="I1154" t="s">
        <v>3070</v>
      </c>
      <c r="J1154" t="s">
        <v>4227</v>
      </c>
      <c r="K1154">
        <v>7</v>
      </c>
      <c r="L1154" t="s">
        <v>4283</v>
      </c>
      <c r="M1154" t="s">
        <v>4279</v>
      </c>
      <c r="N1154">
        <v>688.36</v>
      </c>
    </row>
    <row r="1155" spans="1:14">
      <c r="A1155" t="s">
        <v>1167</v>
      </c>
      <c r="B1155" s="2">
        <v>45642</v>
      </c>
      <c r="C1155" t="s">
        <v>2356</v>
      </c>
      <c r="D1155" t="s">
        <v>2403</v>
      </c>
      <c r="E1155">
        <v>4</v>
      </c>
      <c r="F1155">
        <v>696.71</v>
      </c>
      <c r="G1155" t="s">
        <v>3048</v>
      </c>
      <c r="H1155" t="s">
        <v>3065</v>
      </c>
      <c r="I1155" t="s">
        <v>3070</v>
      </c>
      <c r="J1155" t="s">
        <v>4228</v>
      </c>
      <c r="K1155">
        <v>4</v>
      </c>
      <c r="L1155" t="s">
        <v>4283</v>
      </c>
      <c r="M1155" t="s">
        <v>4278</v>
      </c>
      <c r="N1155">
        <v>2786.84</v>
      </c>
    </row>
    <row r="1156" spans="1:14">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t="s">
        <v>1170</v>
      </c>
      <c r="B1158" s="2">
        <v>45126</v>
      </c>
      <c r="C1158" t="s">
        <v>2359</v>
      </c>
      <c r="D1158" t="s">
        <v>2408</v>
      </c>
      <c r="E1158">
        <v>4</v>
      </c>
      <c r="F1158">
        <v>690.78</v>
      </c>
      <c r="G1158" t="s">
        <v>2424</v>
      </c>
      <c r="H1158" t="s">
        <v>3067</v>
      </c>
      <c r="I1158" t="s">
        <v>3070</v>
      </c>
      <c r="J1158" t="s">
        <v>4231</v>
      </c>
      <c r="K1158">
        <v>9</v>
      </c>
      <c r="L1158" t="s">
        <v>4283</v>
      </c>
      <c r="M1158" t="s">
        <v>4279</v>
      </c>
      <c r="N1158">
        <v>2763.12</v>
      </c>
    </row>
    <row r="1159" spans="1:14">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c r="A1161" t="s">
        <v>1173</v>
      </c>
      <c r="B1161" s="2">
        <v>45345</v>
      </c>
      <c r="C1161" t="s">
        <v>2362</v>
      </c>
      <c r="D1161" t="s">
        <v>2409</v>
      </c>
      <c r="E1161">
        <v>4</v>
      </c>
      <c r="F1161">
        <v>466.7</v>
      </c>
      <c r="G1161" t="s">
        <v>2766</v>
      </c>
      <c r="H1161" t="s">
        <v>3065</v>
      </c>
      <c r="I1161" t="s">
        <v>3072</v>
      </c>
      <c r="J1161" t="s">
        <v>4234</v>
      </c>
      <c r="K1161">
        <v>8</v>
      </c>
      <c r="L1161" t="s">
        <v>4283</v>
      </c>
      <c r="M1161" t="s">
        <v>4278</v>
      </c>
      <c r="N1161">
        <v>1866.8</v>
      </c>
    </row>
    <row r="1162" spans="1:14">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t="s">
        <v>1179</v>
      </c>
      <c r="B1167" s="2">
        <v>45121</v>
      </c>
      <c r="C1167" t="s">
        <v>2368</v>
      </c>
      <c r="D1167" t="s">
        <v>2406</v>
      </c>
      <c r="E1167">
        <v>3</v>
      </c>
      <c r="F1167">
        <v>223.79</v>
      </c>
      <c r="G1167" t="s">
        <v>3051</v>
      </c>
      <c r="H1167" t="s">
        <v>3065</v>
      </c>
      <c r="I1167" t="s">
        <v>3074</v>
      </c>
      <c r="J1167" t="s">
        <v>4240</v>
      </c>
      <c r="K1167">
        <v>3</v>
      </c>
      <c r="L1167" t="s">
        <v>4283</v>
      </c>
      <c r="M1167" t="s">
        <v>4282</v>
      </c>
      <c r="N1167">
        <v>671.37</v>
      </c>
    </row>
    <row r="1168" spans="1:14">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c r="A1174" t="s">
        <v>1186</v>
      </c>
      <c r="B1174" s="2">
        <v>45692</v>
      </c>
      <c r="C1174" t="s">
        <v>2375</v>
      </c>
      <c r="D1174" t="s">
        <v>2409</v>
      </c>
      <c r="E1174">
        <v>3</v>
      </c>
      <c r="F1174">
        <v>131.96</v>
      </c>
      <c r="G1174" t="s">
        <v>2793</v>
      </c>
      <c r="H1174" t="s">
        <v>3067</v>
      </c>
      <c r="I1174" t="s">
        <v>3074</v>
      </c>
      <c r="J1174" t="s">
        <v>4247</v>
      </c>
      <c r="K1174">
        <v>8</v>
      </c>
      <c r="L1174" t="s">
        <v>4283</v>
      </c>
      <c r="M1174" t="s">
        <v>4278</v>
      </c>
      <c r="N1174">
        <v>395.88</v>
      </c>
    </row>
    <row r="1175" spans="1:14">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c r="A1186" t="s">
        <v>1198</v>
      </c>
      <c r="B1186" s="2">
        <v>45196</v>
      </c>
      <c r="C1186" t="s">
        <v>2387</v>
      </c>
      <c r="D1186" t="s">
        <v>2408</v>
      </c>
      <c r="E1186">
        <v>1</v>
      </c>
      <c r="F1186">
        <v>204.08</v>
      </c>
      <c r="G1186" t="s">
        <v>2938</v>
      </c>
      <c r="H1186" t="s">
        <v>3068</v>
      </c>
      <c r="I1186" t="s">
        <v>3072</v>
      </c>
      <c r="J1186" t="s">
        <v>4259</v>
      </c>
      <c r="K1186">
        <v>4</v>
      </c>
      <c r="L1186" t="s">
        <v>4283</v>
      </c>
      <c r="M1186" t="s">
        <v>4282</v>
      </c>
      <c r="N1186">
        <v>204.08</v>
      </c>
    </row>
    <row r="1187" spans="1:14">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c r="A1191" t="s">
        <v>1203</v>
      </c>
      <c r="B1191" s="2">
        <v>45521</v>
      </c>
      <c r="C1191" t="s">
        <v>2392</v>
      </c>
      <c r="D1191" t="s">
        <v>2405</v>
      </c>
      <c r="E1191">
        <v>5</v>
      </c>
      <c r="F1191">
        <v>389.22</v>
      </c>
      <c r="G1191" t="s">
        <v>3060</v>
      </c>
      <c r="H1191" t="s">
        <v>3069</v>
      </c>
      <c r="I1191" t="s">
        <v>3071</v>
      </c>
      <c r="J1191" t="s">
        <v>4264</v>
      </c>
      <c r="K1191">
        <v>7</v>
      </c>
      <c r="L1191" t="s">
        <v>4283</v>
      </c>
      <c r="M1191" t="s">
        <v>4279</v>
      </c>
      <c r="N1191">
        <v>1946.1</v>
      </c>
    </row>
    <row r="1192" spans="1:14">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t="s">
        <v>1206</v>
      </c>
      <c r="B1194" s="2">
        <v>45350</v>
      </c>
      <c r="C1194" t="s">
        <v>2395</v>
      </c>
      <c r="D1194" t="s">
        <v>2406</v>
      </c>
      <c r="E1194">
        <v>3</v>
      </c>
      <c r="F1194">
        <v>432.85</v>
      </c>
      <c r="G1194" t="s">
        <v>2593</v>
      </c>
      <c r="H1194" t="s">
        <v>3066</v>
      </c>
      <c r="I1194" t="s">
        <v>3074</v>
      </c>
      <c r="J1194" t="s">
        <v>4267</v>
      </c>
      <c r="K1194">
        <v>4</v>
      </c>
      <c r="L1194" t="s">
        <v>4283</v>
      </c>
      <c r="M1194" t="s">
        <v>4278</v>
      </c>
      <c r="N1194">
        <v>1298.55</v>
      </c>
    </row>
    <row r="1195" spans="1:14">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c r="A1198" t="s">
        <v>1210</v>
      </c>
      <c r="B1198" s="2">
        <v>45355</v>
      </c>
      <c r="C1198" t="s">
        <v>2399</v>
      </c>
      <c r="D1198" t="s">
        <v>2403</v>
      </c>
      <c r="E1198">
        <v>2</v>
      </c>
      <c r="F1198">
        <v>662.53</v>
      </c>
      <c r="G1198" t="s">
        <v>2730</v>
      </c>
      <c r="H1198" t="s">
        <v>3066</v>
      </c>
      <c r="I1198" t="s">
        <v>3071</v>
      </c>
      <c r="J1198" t="s">
        <v>4271</v>
      </c>
      <c r="K1198">
        <v>5</v>
      </c>
      <c r="L1198" t="s">
        <v>4283</v>
      </c>
      <c r="M1198" t="s">
        <v>4281</v>
      </c>
      <c r="N1198">
        <v>1325.06</v>
      </c>
    </row>
    <row r="1199" spans="1:14">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KPI</vt:lpstr>
      <vt:lpstr>Revenue Trend by Date</vt:lpstr>
      <vt:lpstr>Renvue by product</vt:lpstr>
      <vt:lpstr>Revenue by Payment Method</vt:lpstr>
      <vt:lpstr>Order Status Distribution</vt:lpstr>
      <vt:lpstr>Avg Order Value by Paymt Mthd</vt:lpstr>
      <vt:lpstr>Top 5 Best-Selling Product</vt:lpstr>
      <vt:lpstr>Revenue by Referral Source</vt:lpstr>
      <vt:lpstr>Coupon Performance</vt:lpstr>
      <vt:lpstr>Top Customers</vt:lpstr>
      <vt:lpstr>Dashboard pg1</vt:lpstr>
      <vt:lpstr>Dashboard pg2</vt:lpstr>
      <vt:lpstr>OnlineOrderTable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Don_Mizzy</dc:creator>
  <cp:lastModifiedBy>Michael Aremu 28122</cp:lastModifiedBy>
  <cp:lastPrinted>2026-07-24T05:27:01Z</cp:lastPrinted>
  <dcterms:created xsi:type="dcterms:W3CDTF">2025-06-21T13:19:12Z</dcterms:created>
  <dcterms:modified xsi:type="dcterms:W3CDTF">2026-07-24T16:02:19Z</dcterms:modified>
</cp:coreProperties>
</file>